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da8a6d78064b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a938129411c14fdd"/>
    <x:sheet xmlns:r="http://schemas.openxmlformats.org/officeDocument/2006/relationships" name="Governance &amp; Usage" sheetId="2" r:id="Rfc4f3b86a14c4c94"/>
    <x:sheet xmlns:r="http://schemas.openxmlformats.org/officeDocument/2006/relationships" name="Feature Tracker" sheetId="3" r:id="R0d2673005f3c4e07"/>
    <x:sheet xmlns:r="http://schemas.openxmlformats.org/officeDocument/2006/relationships" name="Development Roadmap" sheetId="4" r:id="R5bd72b9e265f4b5d"/>
    <x:sheet xmlns:r="http://schemas.openxmlformats.org/officeDocument/2006/relationships" name="Test Matrix" sheetId="5" r:id="Rd4a028e2905c4c83"/>
    <x:sheet xmlns:r="http://schemas.openxmlformats.org/officeDocument/2006/relationships" name="Scope Guardrails" sheetId="6" r:id="Rdb938b60b79a48fc"/>
    <x:sheet xmlns:r="http://schemas.openxmlformats.org/officeDocument/2006/relationships" name="Lists" sheetId="7" r:id="R806f83b882a446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0"/>
      <x:color rgb="FFE7E7E7"/>
      <x:name val="Carlito"/>
    </x:font>
    <x:font>
      <x:b/>
      <x:sz val="11"/>
      <x:color rgb="FF101214"/>
      <x:name val="Carlito"/>
    </x:font>
    <x:font>
      <x:sz val="9"/>
      <x:color rgb="FF222222"/>
      <x:name val="Carlito"/>
    </x:font>
    <x:font>
      <x:b/>
      <x:sz val="20"/>
      <x:color rgb="FFFFFFFF"/>
      <x:name val="Carlito"/>
    </x:font>
    <x:font>
      <x:sz val="10"/>
      <x:color rgb="FFDDDDDD"/>
      <x:name val="Carlito"/>
    </x:font>
    <x:font>
      <x:b/>
      <x:sz val="11"/>
      <x:color rgb="FF4D555C"/>
      <x:name val="Carlito"/>
    </x:font>
    <x:font>
      <x:b/>
      <x:sz val="14"/>
      <x:color rgb="FF101214"/>
      <x:name val="Carlito"/>
    </x:font>
    <x:font>
      <x:b/>
      <x:sz val="11"/>
      <x:color rgb="FFA97700"/>
      <x:name val="Carlito"/>
    </x:font>
    <x:font>
      <x:b/>
      <x:sz val="11"/>
      <x:name val="Carlito"/>
    </x:font>
    <x:font>
      <x:b/>
      <x:sz val="19"/>
      <x:color rgb="FFFFFFFF"/>
      <x:name val="Carlito"/>
    </x:font>
    <x:font>
      <x:i/>
      <x:sz val="11"/>
      <x:color rgb="FFDDDDDD"/>
      <x:name val="Carlito"/>
    </x:font>
    <x:font>
      <x:b/>
      <x:sz val="20"/>
      <x:color rgb="FFFFFFFF"/>
      <x:name val="Aptos"/>
    </x:font>
    <x:font>
      <x:sz val="10"/>
      <x:color rgb="FFDDDDDD"/>
      <x:name val="Aptos"/>
    </x:font>
    <x:font>
      <x:sz val="11"/>
      <x:name val="Aptos"/>
    </x:font>
    <x:font>
      <x:b/>
      <x:sz val="11"/>
      <x:color rgb="FF101214"/>
      <x:name val="Aptos"/>
    </x:font>
    <x:font>
      <x:b/>
      <x:sz val="11"/>
      <x:color rgb="FF4D555C"/>
      <x:name val="Aptos"/>
    </x:font>
    <x:font>
      <x:b/>
      <x:sz val="14"/>
      <x:color rgb="FF101214"/>
      <x:name val="Aptos"/>
    </x:font>
    <x:font>
      <x:b/>
      <x:sz val="11"/>
      <x:color rgb="FFFFFFFF"/>
      <x:name val="Aptos"/>
    </x:font>
    <x:font>
      <x:b/>
      <x:sz val="11"/>
      <x:color rgb="FFA97700"/>
      <x:name val="Aptos"/>
    </x:font>
    <x:font>
      <x:b/>
      <x:sz val="11"/>
      <x:name val="Aptos"/>
    </x:font>
    <x:font>
      <x:b/>
      <x:sz val="19"/>
      <x:color rgb="FFFFFFFF"/>
      <x:name val="Aptos"/>
    </x:font>
    <x:font>
      <x:i/>
      <x:sz val="10"/>
      <x:color rgb="FFE7E7E7"/>
      <x:name val="Aptos"/>
    </x:font>
    <x:font>
      <x:b/>
      <x:sz val="18"/>
      <x:color rgb="FFFFFFFF"/>
      <x:name val="Aptos"/>
    </x:font>
    <x:font>
      <x:sz val="9"/>
      <x:color rgb="FF222222"/>
      <x:name val="Aptos"/>
    </x:font>
    <x:font>
      <x:i/>
      <x:sz val="11"/>
      <x:color rgb="FFDDDDD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1214"/>
      </x:patternFill>
    </x:fill>
    <x:fill>
      <x:patternFill patternType="solid">
        <x:fgColor rgb="FF202327"/>
      </x:patternFill>
    </x:fill>
    <x:fill>
      <x:patternFill patternType="solid">
        <x:fgColor rgb="FFF7B50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DDE2"/>
      </x:left>
      <x:top style="thin">
        <x:color rgb="FFD9DDE2"/>
      </x:top>
    </x:border>
    <x:border>
      <x:right style="thin">
        <x:color rgb="FFD9DDE2"/>
      </x:right>
      <x:top style="thin">
        <x:color rgb="FFD9DDE2"/>
      </x:top>
    </x:border>
    <x:border>
      <x:left style="thin">
        <x:color rgb="FFD9DDE2"/>
      </x:left>
    </x:border>
    <x:border>
      <x:right style="thin">
        <x:color rgb="FFD9DDE2"/>
      </x:right>
    </x:border>
    <x:border>
      <x:left style="thin">
        <x:color rgb="FFD9DDE2"/>
      </x:left>
      <x:bottom style="thin">
        <x:color rgb="FFD9DDE2"/>
      </x:bottom>
    </x:border>
    <x:border>
      <x:right style="thin">
        <x:color rgb="FFD9DDE2"/>
      </x:right>
      <x:bottom style="thin">
        <x:color rgb="FFD9DDE2"/>
      </x:bottom>
    </x:border>
    <x:border>
      <x:top style="thin">
        <x:color rgb="FFD9DDE2"/>
      </x:top>
    </x:border>
    <x:border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bottom style="thin">
        <x:color rgb="FFD9DDE2"/>
      </x:bottom>
    </x:border>
    <x:border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200" fontId="0" fillId="5" borderId="6" xfId="0" applyNumberFormat="1" applyFont="1" applyFill="1" applyBorder="1"/>
    <x:xf numFmtId="0" fontId="8" fillId="5" borderId="1" xfId="0" applyNumberFormat="1" applyFont="1" applyFill="1" applyBorder="1"/>
    <x:xf numFmtId="0" fontId="8" fillId="5" borderId="3" xfId="0" applyNumberFormat="1" applyFont="1" applyFill="1" applyBorder="1"/>
    <x:xf numFmtId="0" fontId="8" fillId="5" borderId="5" xfId="0" applyNumberFormat="1" applyFont="1" applyFill="1" applyBorder="1"/>
    <x:xf numFmtId="0" fontId="9" fillId="5" borderId="2" xfId="0" applyNumberFormat="1" applyFont="1" applyFill="1" applyBorder="1"/>
    <x:xf numFmtId="0" fontId="9" fillId="5" borderId="4" xfId="0" applyNumberFormat="1" applyFont="1" applyFill="1" applyBorder="1"/>
    <x:xf numFmtId="200" fontId="9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8" fillId="5" borderId="6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8" fillId="5" borderId="1" xfId="0" applyNumberFormat="1" applyFont="1" applyFill="1" applyBorder="1"/>
    <x:xf numFmtId="0" fontId="19" fillId="5" borderId="2" xfId="0" applyNumberFormat="1" applyFont="1" applyFill="1" applyBorder="1"/>
    <x:xf numFmtId="0" fontId="18" fillId="5" borderId="1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16" fillId="5" borderId="2" xfId="0" applyNumberFormat="1" applyFont="1" applyFill="1" applyBorder="1" applyAlignment="1">
      <x:alignment wrapText="1"/>
    </x:xf>
    <x:xf numFmtId="0" fontId="18" fillId="5" borderId="3" xfId="0" applyNumberFormat="1" applyFont="1" applyFill="1" applyBorder="1"/>
    <x:xf numFmtId="0" fontId="19" fillId="5" borderId="4" xfId="0" applyNumberFormat="1" applyFont="1" applyFill="1" applyBorder="1"/>
    <x:xf numFmtId="0" fontId="18" fillId="5" borderId="3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4" xfId="0" applyNumberFormat="1" applyFont="1" applyFill="1" applyBorder="1" applyAlignment="1">
      <x:alignment wrapText="1"/>
    </x:xf>
    <x:xf numFmtId="0" fontId="18" fillId="5" borderId="5" xfId="0" applyNumberFormat="1" applyFont="1" applyFill="1" applyBorder="1"/>
    <x:xf numFmtId="200" fontId="19" fillId="5" borderId="6" xfId="0" applyNumberFormat="1" applyFont="1" applyFill="1" applyBorder="1"/>
    <x:xf numFmtId="0" fontId="18" fillId="5" borderId="5" xfId="0" applyNumberFormat="1" applyFont="1" applyFill="1" applyBorder="1" applyAlignment="1">
      <x:alignment wrapText="1"/>
    </x:xf>
    <x:xf numFmtId="0" fontId="16" fillId="5" borderId="8" xfId="0" applyNumberFormat="1" applyFont="1" applyFill="1" applyBorder="1" applyAlignment="1">
      <x:alignment wrapText="1"/>
    </x:xf>
    <x:xf numFmtId="0" fontId="16" fillId="5" borderId="6" xfId="0" applyNumberFormat="1" applyFont="1" applyFill="1" applyBorder="1" applyAlignment="1">
      <x:alignment wrapText="1"/>
    </x:xf>
    <x:xf numFmtId="0" fontId="20" fillId="2" borderId="0" xfId="0" applyNumberFormat="1" applyFont="1" applyFill="1" applyBorder="1"/>
    <x:xf numFmtId="0" fontId="16" fillId="5" borderId="9" xfId="0" applyNumberFormat="1" applyFont="1" applyFill="1" applyBorder="1" applyAlignment="1">
      <x:alignment wrapText="1"/>
    </x:xf>
    <x:xf numFmtId="0" fontId="16" fillId="5" borderId="5" xfId="0" applyNumberFormat="1" applyFont="1" applyFill="1" applyBorder="1" applyAlignment="1">
      <x:alignment wrapText="1"/>
    </x:xf>
    <x:xf numFmtId="0" fontId="16" fillId="5" borderId="10" xfId="0" applyNumberFormat="1" applyFont="1" applyFill="1" applyBorder="1" applyAlignment="1">
      <x:alignment wrapText="1"/>
    </x:xf>
    <x:xf numFmtId="0" fontId="16" fillId="5" borderId="11" xfId="0" applyNumberFormat="1" applyFont="1" applyFill="1" applyBorder="1" applyAlignment="1">
      <x:alignment wrapText="1"/>
    </x:xf>
    <x:xf numFmtId="0" fontId="16" fillId="5" borderId="12" xfId="0" applyNumberFormat="1" applyFont="1" applyFill="1" applyBorder="1" applyAlignment="1">
      <x:alignment wrapText="1"/>
    </x:xf>
    <x:xf numFmtId="0" fontId="16" fillId="5" borderId="13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wrapText="1"/>
    </x:xf>
    <x:xf numFmtId="0" fontId="17" fillId="4" borderId="0" xfId="0" applyNumberFormat="1" applyFont="1" applyFill="1" applyBorder="1"/>
    <x:xf numFmtId="0" fontId="21" fillId="5" borderId="6" xfId="0" applyNumberFormat="1" applyFont="1" applyFill="1" applyBorder="1" applyAlignment="1">
      <x:alignment wrapText="1"/>
    </x:xf>
    <x:xf numFmtId="0" fontId="22" fillId="5" borderId="9" xfId="0" applyNumberFormat="1" applyFont="1" applyFill="1" applyBorder="1" applyAlignment="1">
      <x:alignment wrapText="1"/>
    </x:xf>
    <x:xf numFmtId="0" fontId="21" fillId="5" borderId="10" xfId="0" applyNumberFormat="1" applyFont="1" applyFill="1" applyBorder="1" applyAlignment="1">
      <x:alignment wrapText="1"/>
    </x:xf>
    <x:xf numFmtId="0" fontId="22" fillId="5" borderId="11" xfId="0" applyNumberFormat="1" applyFont="1" applyFill="1" applyBorder="1" applyAlignment="1">
      <x:alignment wrapText="1"/>
    </x:xf>
    <x:xf numFmtId="0" fontId="21" fillId="5" borderId="2" xfId="0" applyNumberFormat="1" applyFont="1" applyFill="1" applyBorder="1" applyAlignment="1">
      <x:alignment wrapText="1"/>
    </x:xf>
    <x:xf numFmtId="0" fontId="22" fillId="5" borderId="13" xfId="0" applyNumberFormat="1" applyFont="1" applyFill="1" applyBorder="1" applyAlignment="1">
      <x:alignment wrapText="1"/>
    </x:xf>
    <x:xf numFmtId="0" fontId="23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8" fillId="5" borderId="6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6" fillId="5" borderId="5" xfId="0" applyNumberFormat="1" applyFont="1" applyFill="1" applyBorder="1" applyAlignment="1">
      <x:alignment vertical="top" wrapText="1"/>
    </x:xf>
    <x:xf numFmtId="0" fontId="18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8" fillId="5" borderId="2" xfId="0" applyNumberFormat="1" applyFont="1" applyFill="1" applyBorder="1" applyAlignment="1">
      <x:alignment vertical="top" wrapText="1"/>
    </x:xf>
    <x:xf numFmtId="0" fontId="16" fillId="5" borderId="13" xfId="0" applyNumberFormat="1" applyFont="1" applyFill="1" applyBorder="1" applyAlignment="1">
      <x:alignment vertical="top" wrapText="1"/>
    </x:xf>
    <x:xf numFmtId="0" fontId="16" fillId="5" borderId="1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top"/>
    </x:xf>
    <x:xf numFmtId="0" fontId="26" fillId="0" borderId="0" xfId="0" applyNumberFormat="1" applyFont="1" applyFill="1" applyBorder="1" applyAlignment="1">
      <x:alignment vertical="top" wrapText="1"/>
    </x:xf>
    <x:xf numFmtId="200" fontId="26" fillId="0" borderId="0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/>
    <x:xf numFmtId="0" fontId="27" fillId="3" borderId="0" xfId="0" applyNumberFormat="1" applyFont="1" applyFill="1" applyBorder="1"/>
    <x:xf numFmtId="0" fontId="17" fillId="4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76B36"/>
      </x:font>
      <x:fill>
        <x:patternFill>
          <x:bgColor rgb="FFDDF4E4"/>
        </x:patternFill>
      </x:fill>
    </x:dxf>
    <x:dxf>
      <x:font>
        <x:b/>
        <x:color rgb="FF165AA7"/>
      </x:font>
      <x:fill>
        <x:patternFill>
          <x:bgColor rgb="FFDCEBFF"/>
        </x:patternFill>
      </x:fill>
    </x:dxf>
    <x:dxf>
      <x:font>
        <x:b/>
        <x:color rgb="FF8A5A00"/>
      </x:font>
      <x:fill>
        <x:patternFill>
          <x:bgColor rgb="FFFFF1C7"/>
        </x:patternFill>
      </x:fill>
    </x:dxf>
    <x:dxf>
      <x:font>
        <x:color rgb="FF8A5A00"/>
      </x:font>
      <x:fill>
        <x:patternFill>
          <x:bgColor rgb="FFFFF1C7"/>
        </x:patternFill>
      </x:fill>
    </x:dxf>
    <x:dxf>
      <x:font>
        <x:b/>
        <x:color rgb="FFA32121"/>
      </x:font>
      <x:fill>
        <x:patternFill>
          <x:bgColor rgb="FFFDE0E0"/>
        </x:patternFill>
      </x:fill>
    </x:dxf>
    <x:dxf>
      <x:font>
        <x:color rgb="FF4D555C"/>
      </x:font>
      <x:fill>
        <x:patternFill>
          <x:bgColor rgb="FFE9ECEF"/>
        </x:patternFill>
      </x:fill>
    </x:dxf>
    <x:dxf>
      <x:font>
        <x:b/>
        <x:color rgb="FFFFFFFF"/>
      </x:font>
      <x:fill>
        <x:patternFill>
          <x:bgColor rgb="FF20232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0fa2478b3a44c6" /><Relationship Type="http://schemas.openxmlformats.org/officeDocument/2006/relationships/theme" Target="/xl/theme/theme1.xml" Id="R967edc7e4b2c4080" /><Relationship Type="http://schemas.openxmlformats.org/officeDocument/2006/relationships/sharedStrings" Target="/xl/sharedStrings.xml" Id="Re65ee8d059314e19" /><Relationship Type="http://schemas.openxmlformats.org/officeDocument/2006/relationships/worksheet" Target="/xl/worksheets/sheet1.xml" Id="Ra938129411c14fdd" /><Relationship Type="http://schemas.openxmlformats.org/officeDocument/2006/relationships/worksheet" Target="/xl/worksheets/sheet2.xml" Id="Rfc4f3b86a14c4c94" /><Relationship Type="http://schemas.openxmlformats.org/officeDocument/2006/relationships/worksheet" Target="/xl/worksheets/sheet3.xml" Id="R0d2673005f3c4e07" /><Relationship Type="http://schemas.openxmlformats.org/officeDocument/2006/relationships/worksheet" Target="/xl/worksheets/sheet4.xml" Id="R5bd72b9e265f4b5d" /><Relationship Type="http://schemas.openxmlformats.org/officeDocument/2006/relationships/worksheet" Target="/xl/worksheets/sheet5.xml" Id="Rd4a028e2905c4c83" /><Relationship Type="http://schemas.openxmlformats.org/officeDocument/2006/relationships/worksheet" Target="/xl/worksheets/sheet6.xml" Id="Rdb938b60b79a48fc" /><Relationship Type="http://schemas.openxmlformats.org/officeDocument/2006/relationships/worksheet" Target="/xl/worksheets/sheet7.xml" Id="R806f83b882a446d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db48634ea6344e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feature 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db48634ea6344e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4:O215" headerRowCount="1" totalsRowCount="0" totalsRowShown="0">
  <x:autoFilter ref="A4:O215"/>
  <x:tableColumns count="15">
    <x:tableColumn id="1" name="ID"/>
    <x:tableColumn id="2" name="Module"/>
    <x:tableColumn id="3" name="Feature"/>
    <x:tableColumn id="4" name="Detailed Requirement"/>
    <x:tableColumn id="5" name="Scope"/>
    <x:tableColumn id="6" name="Status"/>
    <x:tableColumn id="7" name="Completion"/>
    <x:tableColumn id="8" name="Priority"/>
    <x:tableColumn id="9" name="Development Stage"/>
    <x:tableColumn id="10" name="Owner"/>
    <x:tableColumn id="11" name="Dependency / Prerequisite"/>
    <x:tableColumn id="12" name="Definition of Done / Acceptance Criteria"/>
    <x:tableColumn id="13" name="Required Testing"/>
    <x:tableColumn id="14" name="Current Evidence / Gap"/>
    <x:tableColumn id="15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4:G24" headerRowCount="1" totalsRowCount="0" totalsRowShown="0">
  <x:tableColumns count="7">
    <x:tableColumn id="1" name="Order"/>
    <x:tableColumn id="2" name="Stage"/>
    <x:tableColumn id="3" name="Work Package"/>
    <x:tableColumn id="4" name="Suggested Branch"/>
    <x:tableColumn id="5" name="Included Scope"/>
    <x:tableColumn id="6" name="Exit Gate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MatrixTable" displayName="TestMatrixTable" ref="A4:H61" headerRowCount="1" totalsRowCount="0" totalsRowShown="0">
  <x:tableColumns count="8">
    <x:tableColumn id="1" name="Test ID"/>
    <x:tableColumn id="2" name="Module"/>
    <x:tableColumn id="3" name="Scenario"/>
    <x:tableColumn id="4" name="Test Type"/>
    <x:tableColumn id="5" name="Automation"/>
    <x:tableColumn id="6" name="Current Result"/>
    <x:tableColumn id="7" name="Entry Condition"/>
    <x:tableColumn id="8" name="Expected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uardrailTable" displayName="GuardrailTable" ref="A4:D16" headerRowCount="1" totalsRowCount="0" totalsRowShown="0">
  <x:tableColumns count="4">
    <x:tableColumn id="1" name="Area"/>
    <x:tableColumn id="2" name="Excluded Functionality"/>
    <x:tableColumn id="3" name="Status"/>
    <x:tableColumn id="4" name="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e44d6e75c90476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5da0c83eee8d420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c24fce980ace4cf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22f2e531f2e744c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1b2a4989fd8d493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45" hidden="0" customWidth="1"/>
    <x:col min="4" max="4" width="22" hidden="0" customWidth="1"/>
    <x:col min="5" max="5" width="17" hidden="0" customWidth="1"/>
    <x:col min="6" max="6" width="23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86" t="str">
        <x:v>JaniWheels V1 Development Control Sheet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32" customHeight="1">
      <x:c r="A2" s="87" t="str">
        <x:v>Use the Feature Tracker as the source of truth. Update Status, Completion, Priority, Owner and Next Action after each tested feature branch.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</x:row>
    <x:row r="4">
      <x:c r="A4" s="89" t="str">
        <x:v>SCOPE STATUS</x:v>
      </x:c>
      <x:c r="B4" s="89"/>
      <x:c r="C4" s="89"/>
      <x:c r="D4" s="89" t="str">
        <x:v>QUALITY GATES</x:v>
      </x:c>
      <x:c r="E4" s="89"/>
      <x:c r="F4" s="89"/>
      <x:c r="G4" s="89" t="str">
        <x:v>CURRENT RELEASE</x:v>
      </x:c>
      <x:c r="H4" s="89"/>
      <x:c r="I4" s="89"/>
      <x:c r="J4" s="89"/>
    </x:row>
    <x:row r="5">
      <x:c r="A5" s="90" t="str">
        <x:v>In-scope feature rows</x:v>
      </x:c>
      <x:c r="B5" s="91" t="n">
        <x:f>COUNTIFS('Feature Tracker'!$E$5:$E$215,"&lt;&gt;Excluded / Change Request")</x:f>
        <x:v>201</x:v>
      </x:c>
      <x:c r="C5" s="88"/>
      <x:c r="D5" s="92" t="str">
        <x:v>TypeScript</x:v>
      </x:c>
      <x:c r="E5" s="93" t="str">
        <x:v>Passed</x:v>
      </x:c>
      <x:c r="F5" s="94" t="str">
        <x:v>Full project check passed 30 Sep 2026</x:v>
      </x:c>
      <x:c r="G5" s="92" t="str">
        <x:v>Current branch</x:v>
      </x:c>
      <x:c r="H5" s="93" t="str">
        <x:v>codex/homepage-visuals (pushed)</x:v>
      </x:c>
      <x:c r="I5" s="93"/>
      <x:c r="J5" s="94"/>
    </x:row>
    <x:row r="6">
      <x:c r="A6" s="95" t="str">
        <x:v>Completed</x:v>
      </x:c>
      <x:c r="B6" s="96" t="n">
        <x:f>COUNTIF('Feature Tracker'!$F$5:$F$215,"Completed")</x:f>
        <x:v>153</x:v>
      </x:c>
      <x:c r="C6" s="88"/>
      <x:c r="D6" s="97" t="str">
        <x:v>Lint</x:v>
      </x:c>
      <x:c r="E6" s="98" t="str">
        <x:v>Passed</x:v>
      </x:c>
      <x:c r="F6" s="99" t="str">
        <x:v>Zero warnings/errors on 30 Sep 2026</x:v>
      </x:c>
      <x:c r="G6" s="97" t="str">
        <x:v>Stage 6.1</x:v>
      </x:c>
      <x:c r="H6" s="98" t="str">
        <x:v>Homepage visuals approved and pushed</x:v>
      </x:c>
      <x:c r="I6" s="98"/>
      <x:c r="J6" s="99"/>
    </x:row>
    <x:row r="7">
      <x:c r="A7" s="95" t="str">
        <x:v>Feature branch review</x:v>
      </x:c>
      <x:c r="B7" s="96" t="n">
        <x:f>COUNTIF('Feature Tracker'!$F$5:$F$215,"Complete on Feature Branch - Awaiting Review")</x:f>
        <x:v>0</x:v>
      </x:c>
      <x:c r="C7" s="88"/>
      <x:c r="D7" s="97" t="str">
        <x:v>Google auth</x:v>
      </x:c>
      <x:c r="E7" s="98" t="str">
        <x:v>Passed</x:v>
      </x:c>
      <x:c r="F7" s="99" t="str">
        <x:v>12/12 checks + local signup success</x:v>
      </x:c>
      <x:c r="G7" s="97" t="str">
        <x:v>Legal/content</x:v>
      </x:c>
      <x:c r="H7" s="98" t="str">
        <x:v>936baee on origin/codex/homepage-visuals</x:v>
      </x:c>
      <x:c r="I7" s="98"/>
      <x:c r="J7" s="99"/>
    </x:row>
    <x:row r="8">
      <x:c r="A8" s="95" t="str">
        <x:v>Partially/Data layer</x:v>
      </x:c>
      <x:c r="B8" s="96" t="n">
        <x:f>COUNTIF('Feature Tracker'!$F$5:$F$215,"Partially Implemented")+COUNTIF('Feature Tracker'!$F$5:$F$215,"Data Layer Only")+COUNTIF('Feature Tracker'!$F$5:$F$215,"Launch Configuration Pending")</x:f>
        <x:v>28</x:v>
      </x:c>
      <x:c r="C8" s="88"/>
      <x:c r="D8" s="97" t="str">
        <x:v>Production build</x:v>
      </x:c>
      <x:c r="E8" s="98" t="str">
        <x:v>Passed</x:v>
      </x:c>
      <x:c r="F8" s="99" t="str">
        <x:v>15.5.26 build:safe passed 30 Sep; max First Load JS 128 kB; production audit zero vulnerabilities</x:v>
      </x:c>
      <x:c r="G8" s="97" t="str">
        <x:v>Next functionality</x:v>
      </x:c>
      <x:c r="H8" s="98" t="str">
        <x:v>Persistent staging, required CI check and monitoring</x:v>
      </x:c>
      <x:c r="I8" s="98"/>
      <x:c r="J8" s="99"/>
    </x:row>
    <x:row r="9">
      <x:c r="A9" s="95" t="str">
        <x:v>Requires correction</x:v>
      </x:c>
      <x:c r="B9" s="96" t="n">
        <x:f>COUNTIF('Feature Tracker'!$F$5:$F$215,"Requires Correction")</x:f>
        <x:v>1</x:v>
      </x:c>
      <x:c r="C9" s="88"/>
      <x:c r="D9" s="97" t="str">
        <x:v>Database acceptance</x:v>
      </x:c>
      <x:c r="E9" s="98" t="str">
        <x:v>Ongoing</x:v>
      </x:c>
      <x:c r="F9" s="99" t="str">
        <x:v>Run alongside each package</x:v>
      </x:c>
      <x:c r="G9" s="97" t="str">
        <x:v>Browser QA</x:v>
      </x:c>
      <x:c r="H9" s="98" t="str">
        <x:v>Authenticated and populated browser/DB acceptance pending</x:v>
      </x:c>
      <x:c r="I9" s="98"/>
      <x:c r="J9" s="99"/>
    </x:row>
    <x:row r="10">
      <x:c r="A10" s="95" t="str">
        <x:v>Pending</x:v>
      </x:c>
      <x:c r="B10" s="96" t="n">
        <x:f>COUNTIF('Feature Tracker'!$F$5:$F$215,"Pending")</x:f>
        <x:v>19</x:v>
      </x:c>
      <x:c r="C10" s="88"/>
      <x:c r="D10" s="97" t="str">
        <x:v>Responsive/branding</x:v>
      </x:c>
      <x:c r="E10" s="98" t="str">
        <x:v>In progress</x:v>
      </x:c>
      <x:c r="F10" s="99" t="str">
        <x:v>Shell checks pass; visual and accessibility acceptance pending</x:v>
      </x:c>
      <x:c r="G10" s="97" t="str">
        <x:v>Google Maps</x:v>
      </x:c>
      <x:c r="H10" s="98" t="str">
        <x:v>Code configured; live test blocked by billing</x:v>
      </x:c>
      <x:c r="I10" s="98"/>
      <x:c r="J10" s="99"/>
    </x:row>
    <x:row r="11">
      <x:c r="A11" s="100" t="str">
        <x:v>Weighted completion</x:v>
      </x:c>
      <x:c r="B11" s="101" t="n">
        <x:f>SUMIFS('Feature Tracker'!$G$5:$G$215,'Feature Tracker'!$E$5:$E$215,"&lt;&gt;Excluded / Change Request")/B5</x:f>
        <x:v>0.8628358208955226</x:v>
      </x:c>
      <x:c r="C11" s="88"/>
      <x:c r="D11" s="102" t="str">
        <x:v>Security/load</x:v>
      </x:c>
      <x:c r="E11" s="103" t="str">
        <x:v>Pending</x:v>
      </x:c>
      <x:c r="F11" s="104" t="str">
        <x:v>Final hardening gate</x:v>
      </x:c>
      <x:c r="G11" s="102" t="str">
        <x:v>Final QA blocker</x:v>
      </x:c>
      <x:c r="H11" s="103" t="str">
        <x:v>Enable billing and verify live maps</x:v>
      </x:c>
      <x:c r="I11" s="103"/>
      <x:c r="J11" s="104"/>
    </x:row>
    <x:row r="12">
      <x:c r="A12" s="88"/>
      <x:c r="B12" s="88"/>
      <x:c r="C12" s="88"/>
      <x:c r="D12" s="88"/>
      <x:c r="E12" s="88"/>
      <x:c r="F12" s="88"/>
      <x:c r="G12" s="88"/>
      <x:c r="H12" s="88"/>
      <x:c r="I12" s="88"/>
      <x:c r="J12" s="88"/>
    </x:row>
    <x:row r="13">
      <x:c r="A13" s="88"/>
      <x:c r="B13" s="88"/>
      <x:c r="C13" s="88"/>
      <x:c r="D13" s="88"/>
      <x:c r="E13" s="88"/>
      <x:c r="F13" s="88"/>
      <x:c r="G13" s="88"/>
      <x:c r="H13" s="88"/>
      <x:c r="I13" s="88"/>
      <x:c r="J13" s="88"/>
    </x:row>
    <x:row r="14">
      <x:c r="A14" s="105" t="str">
        <x:v>Status</x:v>
      </x:c>
      <x:c r="B14" s="105" t="str">
        <x:v>Count</x:v>
      </x:c>
      <x:c r="C14" s="105" t="str">
        <x:v>Meaning</x:v>
      </x:c>
      <x:c r="D14" s="88"/>
      <x:c r="E14" s="88"/>
      <x:c r="F14" s="88"/>
      <x:c r="G14" s="88"/>
      <x:c r="H14" s="88"/>
      <x:c r="I14" s="88"/>
      <x:c r="J14" s="88"/>
    </x:row>
    <x:row r="15">
      <x:c r="A15" s="104" t="str">
        <x:v>Completed</x:v>
      </x:c>
      <x:c r="B15" s="106" t="n">
        <x:f>COUNTIF('Feature Tracker'!$F$5:$F$215,"Completed")</x:f>
        <x:v>153</x:v>
      </x:c>
      <x:c r="C15" s="107" t="str">
        <x:v>Implemented in current code and functionally available</x:v>
      </x:c>
      <x:c r="D15" s="88"/>
      <x:c r="E15" s="88"/>
      <x:c r="F15" s="88"/>
      <x:c r="G15" s="88"/>
      <x:c r="H15" s="88"/>
      <x:c r="I15" s="88"/>
      <x:c r="J15" s="88"/>
    </x:row>
    <x:row r="16">
      <x:c r="A16" s="108" t="str">
        <x:v>Branch review</x:v>
      </x:c>
      <x:c r="B16" s="109" t="n">
        <x:f>COUNTIF('Feature Tracker'!$F$5:$F$215,"Complete on Feature Branch - Awaiting Review")</x:f>
        <x:v>0</x:v>
      </x:c>
      <x:c r="C16" s="110" t="str">
        <x:v>Implemented in PR #2 but not yet merged</x:v>
      </x:c>
      <x:c r="D16" s="88"/>
      <x:c r="E16" s="88"/>
      <x:c r="F16" s="88"/>
      <x:c r="G16" s="88"/>
      <x:c r="H16" s="88"/>
      <x:c r="I16" s="88"/>
      <x:c r="J16" s="88"/>
    </x:row>
    <x:row r="17">
      <x:c r="A17" s="108" t="str">
        <x:v>Partial/Data</x:v>
      </x:c>
      <x:c r="B17" s="109" t="n">
        <x:f>COUNTIF('Feature Tracker'!$F$5:$F$215,"Partially Implemented")+COUNTIF('Feature Tracker'!$F$5:$F$215,"Data Layer Only")+COUNTIF('Feature Tracker'!$F$5:$F$215,"Launch Configuration Pending")</x:f>
        <x:v>28</x:v>
      </x:c>
      <x:c r="C17" s="110" t="str">
        <x:v>Foundation exists; end-to-end feature incomplete</x:v>
      </x:c>
      <x:c r="D17" s="88"/>
      <x:c r="E17" s="88"/>
      <x:c r="F17" s="88"/>
      <x:c r="G17" s="88"/>
      <x:c r="H17" s="88"/>
      <x:c r="I17" s="88"/>
      <x:c r="J17" s="88"/>
    </x:row>
    <x:row r="18">
      <x:c r="A18" s="108" t="str">
        <x:v>Correction</x:v>
      </x:c>
      <x:c r="B18" s="109" t="n">
        <x:f>COUNTIF('Feature Tracker'!$F$5:$F$215,"Requires Correction")</x:f>
        <x:v>1</x:v>
      </x:c>
      <x:c r="C18" s="110" t="str">
        <x:v>Implemented behavior is wrong or unsafe</x:v>
      </x:c>
      <x:c r="D18" s="88"/>
      <x:c r="E18" s="88"/>
      <x:c r="F18" s="88"/>
      <x:c r="G18" s="88"/>
      <x:c r="H18" s="88"/>
      <x:c r="I18" s="88"/>
      <x:c r="J18" s="88"/>
    </x:row>
    <x:row r="19">
      <x:c r="A19" s="108" t="str">
        <x:v>Pending</x:v>
      </x:c>
      <x:c r="B19" s="109" t="n">
        <x:f>COUNTIF('Feature Tracker'!$F$5:$F$215,"Pending")</x:f>
        <x:v>19</x:v>
      </x:c>
      <x:c r="C19" s="110" t="str">
        <x:v>Not implemented</x:v>
      </x:c>
      <x:c r="D19" s="88"/>
      <x:c r="E19" s="88"/>
      <x:c r="F19" s="88"/>
      <x:c r="G19" s="88"/>
      <x:c r="H19" s="88"/>
      <x:c r="I19" s="88"/>
      <x:c r="J19" s="88"/>
    </x:row>
    <x:row r="20">
      <x:c r="A20" s="94" t="str">
        <x:v>Excluded</x:v>
      </x:c>
      <x:c r="B20" s="111" t="n">
        <x:f>COUNTIF('Feature Tracker'!$F$5:$F$215,"Out of Scope / Removed")</x:f>
        <x:v>10</x:v>
      </x:c>
      <x:c r="C20" s="112" t="str">
        <x:v>Deliberately removed; do not build without signed change</x:v>
      </x:c>
      <x:c r="D20" s="88"/>
      <x:c r="E20" s="88"/>
      <x:c r="F20" s="88"/>
      <x:c r="G20" s="88"/>
      <x:c r="H20" s="88"/>
      <x:c r="I20" s="88"/>
      <x:c r="J20" s="88"/>
    </x:row>
    <x:row r="21">
      <x:c r="A21" s="88"/>
      <x:c r="B21" s="88"/>
      <x:c r="C21" s="88"/>
      <x:c r="D21" s="88"/>
      <x:c r="E21" s="88"/>
      <x:c r="F21" s="88"/>
      <x:c r="G21" s="88"/>
      <x:c r="H21" s="88"/>
      <x:c r="I21" s="88"/>
      <x:c r="J21" s="88"/>
    </x:row>
    <x:row r="22">
      <x:c r="A22" s="88"/>
      <x:c r="B22" s="88"/>
      <x:c r="C22" s="88"/>
      <x:c r="D22" s="88"/>
      <x:c r="E22" s="88"/>
      <x:c r="F22" s="88"/>
      <x:c r="G22" s="88"/>
      <x:c r="H22" s="88"/>
      <x:c r="I22" s="88"/>
      <x:c r="J22" s="88"/>
    </x:row>
    <x:row r="23">
      <x:c r="A23" s="113" t="str">
        <x:v>Recommended next sequence</x:v>
      </x:c>
      <x:c r="B23" s="113"/>
      <x:c r="C23" s="113"/>
      <x:c r="D23" s="88"/>
      <x:c r="E23" s="88"/>
      <x:c r="F23" s="88"/>
      <x:c r="G23" s="88"/>
      <x:c r="H23" s="88"/>
      <x:c r="I23" s="88"/>
      <x:c r="J23" s="88"/>
    </x:row>
    <x:row r="24">
      <x:c r="A24" s="114" t="n">
        <x:v>1</x:v>
      </x:c>
      <x:c r="B24" s="115" t="str">
        <x:v>Homepage review and merge — completed</x:v>
      </x:c>
      <x:c r="C24" s="107" t="str">
        <x:v>PR #5 reviewed and merged into main on 30 Sep 2026 (merge c1ef18d).</x:v>
      </x:c>
      <x:c r="D24" s="88"/>
      <x:c r="E24" s="88"/>
      <x:c r="F24" s="88"/>
      <x:c r="G24" s="88"/>
      <x:c r="H24" s="88"/>
      <x:c r="I24" s="88"/>
      <x:c r="J24" s="88"/>
    </x:row>
    <x:row r="25">
      <x:c r="A25" s="116" t="n">
        <x:v>2</x:v>
      </x:c>
      <x:c r="B25" s="117" t="str">
        <x:v>Stage 6.2 CI and acceptance — in progress</x:v>
      </x:c>
      <x:c r="C25" s="110" t="str">
        <x:v>PR #6: 100-route sweep 0 issues; 51 Chromium tests pass (1 desktop skip). Verified-email registration and password reset now have isolated DB/browser evidence alongside listing, dealer, assistance, moderation, bans and report safety hold.</x:v>
      </x:c>
      <x:c r="D25" s="88"/>
      <x:c r="E25" s="88"/>
      <x:c r="F25" s="88"/>
      <x:c r="G25" s="88"/>
      <x:c r="H25" s="88"/>
      <x:c r="I25" s="88"/>
      <x:c r="J25" s="88"/>
    </x:row>
    <x:row r="26">
      <x:c r="A26" s="116" t="n">
        <x:v>3</x:v>
      </x:c>
      <x:c r="B26" s="117" t="str">
        <x:v>Persistent staging and monitoring</x:v>
      </x:c>
      <x:c r="C26" s="110" t="str">
        <x:v>Configure hosted preview with separate DB/media, require passing PR check, and enable external alerts.</x:v>
      </x:c>
      <x:c r="D26" s="88"/>
      <x:c r="E26" s="88"/>
      <x:c r="F26" s="88"/>
      <x:c r="G26" s="88"/>
      <x:c r="H26" s="88"/>
      <x:c r="I26" s="88"/>
      <x:c r="J26" s="88"/>
    </x:row>
    <x:row r="27">
      <x:c r="A27" s="116" t="n">
        <x:v>4</x:v>
      </x:c>
      <x:c r="B27" s="117" t="str">
        <x:v>Complete remaining launch acceptance</x:v>
      </x:c>
      <x:c r="C27" s="110" t="str">
        <x:v>Automate registration, listing submission/contact, dealer registration, moderation mutations and Safari mobile; verify live provider integrations.</x:v>
      </x:c>
      <x:c r="D27" s="88"/>
      <x:c r="E27" s="88"/>
      <x:c r="F27" s="88"/>
      <x:c r="G27" s="88"/>
      <x:c r="H27" s="88"/>
      <x:c r="I27" s="88"/>
      <x:c r="J27" s="88"/>
    </x:row>
    <x:row r="28">
      <x:c r="A28" s="116" t="n">
        <x:v>5</x:v>
      </x:c>
      <x:c r="B28" s="117" t="str">
        <x:v>Stage 6.3 production readiness</x:v>
      </x:c>
      <x:c r="C28" s="110" t="str">
        <x:v>Configure hosting, DB, media, backups, logs, cron, domain and hardening.</x:v>
      </x:c>
      <x:c r="D28" s="88"/>
      <x:c r="E28" s="88"/>
      <x:c r="F28" s="88"/>
      <x:c r="G28" s="88"/>
      <x:c r="H28" s="88"/>
      <x:c r="I28" s="88"/>
      <x:c r="J28" s="88"/>
    </x:row>
    <x:row r="29">
      <x:c r="A29" s="116" t="n">
        <x:v>6</x:v>
      </x:c>
      <x:c r="B29" s="117" t="str">
        <x:v>Final branding/responsive QA</x:v>
      </x:c>
      <x:c r="C29" s="110" t="str">
        <x:v>Review production branding and comprehensive desktop/tablet/mobile behavior.</x:v>
      </x:c>
      <x:c r="D29" s="88"/>
      <x:c r="E29" s="88"/>
      <x:c r="F29" s="88"/>
      <x:c r="G29" s="88"/>
      <x:c r="H29" s="88"/>
      <x:c r="I29" s="88"/>
      <x:c r="J29" s="88"/>
    </x:row>
    <x:row r="30">
      <x:c r="A30" s="116" t="n">
        <x:v>7</x:v>
      </x:c>
      <x:c r="B30" s="117" t="str">
        <x:v>Final browser acceptance</x:v>
      </x:c>
      <x:c r="C30" s="110" t="str">
        <x:v>Execute all critical journeys end to end after functionality completion.</x:v>
      </x:c>
      <x:c r="D30" s="88"/>
      <x:c r="E30" s="88"/>
      <x:c r="F30" s="88"/>
      <x:c r="G30" s="88"/>
      <x:c r="H30" s="88"/>
      <x:c r="I30" s="88"/>
      <x:c r="J30" s="88"/>
    </x:row>
    <x:row r="31">
      <x:c r="A31" s="118" t="n">
        <x:v>8</x:v>
      </x:c>
      <x:c r="B31" s="119" t="str">
        <x:v>Preserve signed V1 scope</x:v>
      </x:c>
      <x:c r="C31" s="112" t="str">
        <x:v>Payments, featured ads, financing, subscriptions, commerce, SMS OTP and workforce tooling remain excluded.</x:v>
      </x:c>
      <x:c r="D31" s="88"/>
      <x:c r="E31" s="88"/>
      <x:c r="F31" s="88"/>
      <x:c r="G31" s="88"/>
      <x:c r="H31" s="88"/>
      <x:c r="I31" s="88"/>
      <x:c r="J31" s="88"/>
    </x:row>
  </x:sheetData>
  <x:mergeCells>
    <x:mergeCell ref="A1:J1"/>
    <x:mergeCell ref="A2:J2"/>
    <x:mergeCell ref="A4:C4"/>
    <x:mergeCell ref="D4:F4"/>
    <x:mergeCell ref="G4:J4"/>
    <x:mergeCell ref="H5:J5"/>
    <x:mergeCell ref="H6:J6"/>
    <x:mergeCell ref="H7:J7"/>
    <x:mergeCell ref="H8:J8"/>
    <x:mergeCell ref="H9:J9"/>
    <x:mergeCell ref="H10:J10"/>
    <x:mergeCell ref="H11:J11"/>
    <x:mergeCell ref="A23:C23"/>
  </x:mergeCells>
  <x:pageMargins left="0.7" right="0.7" top="0.75" bottom="0.75" header="0.3" footer="0.3"/>
  <x:drawing xmlns:r="http://schemas.openxmlformats.org/officeDocument/2006/relationships" r:id="Rae44d6e75c904769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120" t="str">
        <x:v>JaniWheels Development Governance &amp; Source of Truth</x:v>
      </x:c>
      <x:c r="B1" s="120"/>
      <x:c r="C1" s="120"/>
      <x:c r="D1" s="120"/>
      <x:c r="E1" s="120"/>
      <x:c r="F1" s="120"/>
    </x:row>
    <x:row r="2" ht="34" customHeight="1">
      <x:c r="A2" s="121" t="str">
        <x:v>This workbook is the master development tracker. Work on one roadmap package at a time and update this same file after each verified milestone.</x:v>
      </x:c>
      <x:c r="B2" s="121"/>
      <x:c r="C2" s="121"/>
      <x:c r="D2" s="121"/>
      <x:c r="E2" s="121"/>
      <x:c r="F2" s="121"/>
    </x:row>
    <x:row r="3">
      <x:c r="A3" s="88"/>
      <x:c r="B3" s="88"/>
      <x:c r="C3" s="88"/>
      <x:c r="D3" s="88"/>
      <x:c r="E3" s="88"/>
      <x:c r="F3" s="88"/>
    </x:row>
    <x:row r="4">
      <x:c r="A4" s="122" t="str">
        <x:v>MASTER SOURCE</x:v>
      </x:c>
      <x:c r="B4" s="122"/>
      <x:c r="C4" s="122"/>
      <x:c r="D4" s="122"/>
      <x:c r="E4" s="122"/>
      <x:c r="F4" s="122"/>
    </x:row>
    <x:row r="5" ht="25" customHeight="1">
      <x:c r="A5" s="123" t="str">
        <x:v>File</x:v>
      </x:c>
      <x:c r="B5" s="124" t="str">
        <x:v>JaniWheels_Complete_Feature_Development_Tracker.xlsx</x:v>
      </x:c>
      <x:c r="C5" s="124"/>
      <x:c r="D5" s="124"/>
      <x:c r="E5" s="124"/>
      <x:c r="F5" s="125"/>
    </x:row>
    <x:row r="6" ht="25" customHeight="1">
      <x:c r="A6" s="126" t="str">
        <x:v>Persistent path</x:v>
      </x:c>
      <x:c r="B6" s="127" t="str">
        <x:v>docs/JaniWheels_Complete_Feature_Development_Tracker.xlsx</x:v>
      </x:c>
      <x:c r="C6" s="127"/>
      <x:c r="D6" s="127"/>
      <x:c r="E6" s="127"/>
      <x:c r="F6" s="128"/>
    </x:row>
    <x:row r="7" ht="25" customHeight="1">
      <x:c r="A7" s="126" t="str">
        <x:v>Active package</x:v>
      </x:c>
      <x:c r="B7" s="127" t="str">
        <x:v>Stage 6.2 CI and isolated DB/browser acceptance in PR #6; persistent online staging remains open</x:v>
      </x:c>
      <x:c r="C7" s="127"/>
      <x:c r="D7" s="127"/>
      <x:c r="E7" s="127"/>
      <x:c r="F7" s="128"/>
    </x:row>
    <x:row r="8" ht="25" customHeight="1">
      <x:c r="A8" s="126" t="str">
        <x:v>Current branch</x:v>
      </x:c>
      <x:c r="B8" s="127" t="str">
        <x:v>codex/launch-quality-system (pushed; PR #6 open)</x:v>
      </x:c>
      <x:c r="C8" s="127"/>
      <x:c r="D8" s="127"/>
      <x:c r="E8" s="127"/>
      <x:c r="F8" s="128"/>
    </x:row>
    <x:row r="9" ht="25" customHeight="1">
      <x:c r="A9" s="129" t="str">
        <x:v>Current checkpoint</x:v>
      </x:c>
      <x:c r="B9" s="130" t="str">
        <x:v>Stage 6.2 PR #6: patched dependencies, audit gate, car registration fields, upload Origin guard, five-report safety hold, verified-email registration and password-reset browser/DB acceptance; 100-route sweep and 51 Chromium cases pass. Online staging, provider configuration, branch protection, monitoring and remaining edge journeys stay open.</x:v>
      </x:c>
      <x:c r="C9" s="130"/>
      <x:c r="D9" s="130"/>
      <x:c r="E9" s="130"/>
      <x:c r="F9" s="131"/>
    </x:row>
    <x:row r="10">
      <x:c r="A10" s="88"/>
      <x:c r="B10" s="88"/>
      <x:c r="C10" s="88"/>
      <x:c r="D10" s="88"/>
      <x:c r="E10" s="88"/>
      <x:c r="F10" s="88"/>
    </x:row>
    <x:row r="11">
      <x:c r="A11" s="122" t="str">
        <x:v>STRICT SCOPE RULE</x:v>
      </x:c>
      <x:c r="B11" s="122"/>
      <x:c r="C11" s="122"/>
      <x:c r="D11" s="122"/>
      <x:c r="E11" s="122"/>
      <x:c r="F11" s="122"/>
    </x:row>
    <x:row r="12" ht="32" customHeight="1">
      <x:c r="A12" s="123" t="str">
        <x:v>1</x:v>
      </x:c>
      <x:c r="B12" s="124" t="str">
        <x:v>Work only on the active package shown in the Development Roadmap.</x:v>
      </x:c>
      <x:c r="C12" s="124"/>
      <x:c r="D12" s="124"/>
      <x:c r="E12" s="124"/>
      <x:c r="F12" s="125"/>
    </x:row>
    <x:row r="13" ht="32" customHeight="1">
      <x:c r="A13" s="126" t="str">
        <x:v>2</x:v>
      </x:c>
      <x:c r="B13" s="127" t="str">
        <x:v>If a request is outside the active package, identify its tracker ID/stage and explicitly flag it as outside the current sequence.</x:v>
      </x:c>
      <x:c r="C13" s="127"/>
      <x:c r="D13" s="127"/>
      <x:c r="E13" s="127"/>
      <x:c r="F13" s="128"/>
    </x:row>
    <x:row r="14" ht="32" customHeight="1">
      <x:c r="A14" s="126" t="str">
        <x:v>3</x:v>
      </x:c>
      <x:c r="B14" s="127" t="str">
        <x:v>Do not execute outside-sequence work unless the user explicitly confirms an override or resequencing.</x:v>
      </x:c>
      <x:c r="C14" s="127"/>
      <x:c r="D14" s="127"/>
      <x:c r="E14" s="127"/>
      <x:c r="F14" s="128"/>
    </x:row>
    <x:row r="15" ht="32" customHeight="1">
      <x:c r="A15" s="126" t="str">
        <x:v>4</x:v>
      </x:c>
      <x:c r="B15" s="127" t="str">
        <x:v>Handle a technical dependency only when it is necessary for the active package, and record it in Evidence / Current State.</x:v>
      </x:c>
      <x:c r="C15" s="127"/>
      <x:c r="D15" s="127"/>
      <x:c r="E15" s="127"/>
      <x:c r="F15" s="128"/>
    </x:row>
    <x:row r="16" ht="32" customHeight="1">
      <x:c r="A16" s="129" t="str">
        <x:v>5</x:v>
      </x:c>
      <x:c r="B16" s="130" t="str">
        <x:v>Never add excluded functionality unless a formal, explicitly confirmed scope change is recorded.</x:v>
      </x:c>
      <x:c r="C16" s="130"/>
      <x:c r="D16" s="130"/>
      <x:c r="E16" s="130"/>
      <x:c r="F16" s="131"/>
    </x:row>
    <x:row r="17">
      <x:c r="A17" s="88"/>
      <x:c r="B17" s="88"/>
      <x:c r="C17" s="88"/>
      <x:c r="D17" s="88"/>
      <x:c r="E17" s="88"/>
      <x:c r="F17" s="88"/>
    </x:row>
    <x:row r="18">
      <x:c r="A18" s="122" t="str">
        <x:v>COMPLETION GATE</x:v>
      </x:c>
      <x:c r="B18" s="122"/>
      <x:c r="C18" s="122"/>
      <x:c r="D18" s="122"/>
      <x:c r="E18" s="122"/>
      <x:c r="F18" s="122"/>
    </x:row>
    <x:row r="19" ht="32" customHeight="1">
      <x:c r="A19" s="123" t="str">
        <x:v>1</x:v>
      </x:c>
      <x:c r="B19" s="124" t="str">
        <x:v>Implementation satisfies the feature acceptance criteria.</x:v>
      </x:c>
      <x:c r="C19" s="124"/>
      <x:c r="D19" s="124"/>
      <x:c r="E19" s="124"/>
      <x:c r="F19" s="125"/>
    </x:row>
    <x:row r="20" ht="32" customHeight="1">
      <x:c r="A20" s="126" t="str">
        <x:v>2</x:v>
      </x:c>
      <x:c r="B20" s="127" t="str">
        <x:v>Applicable typecheck, lint, automated tests and production build checks pass.</x:v>
      </x:c>
      <x:c r="C20" s="127"/>
      <x:c r="D20" s="127"/>
      <x:c r="E20" s="127"/>
      <x:c r="F20" s="128"/>
    </x:row>
    <x:row r="21" ht="32" customHeight="1">
      <x:c r="A21" s="126" t="str">
        <x:v>3</x:v>
      </x:c>
      <x:c r="B21" s="127" t="str">
        <x:v>Functional, validation, authorization, responsive and error-state checks are completed as applicable.</x:v>
      </x:c>
      <x:c r="C21" s="127"/>
      <x:c r="D21" s="127"/>
      <x:c r="E21" s="127"/>
      <x:c r="F21" s="128"/>
    </x:row>
    <x:row r="22" ht="32" customHeight="1">
      <x:c r="A22" s="126" t="str">
        <x:v>4</x:v>
      </x:c>
      <x:c r="B22" s="127" t="str">
        <x:v>Verified development is committed, pushed on a feature branch, and recorded in this tracker without recurring approval requests; main-branch merge still follows review and approval.</x:v>
      </x:c>
      <x:c r="C22" s="127"/>
      <x:c r="D22" s="127"/>
      <x:c r="E22" s="127"/>
      <x:c r="F22" s="128"/>
    </x:row>
    <x:row r="23" ht="32" customHeight="1">
      <x:c r="A23" s="126" t="str">
        <x:v>5</x:v>
      </x:c>
      <x:c r="B23" s="127" t="str">
        <x:v>User completes local review and gives explicit approval before merge.</x:v>
      </x:c>
      <x:c r="C23" s="127"/>
      <x:c r="D23" s="127"/>
      <x:c r="E23" s="127"/>
      <x:c r="F23" s="128"/>
    </x:row>
    <x:row r="24" ht="32" customHeight="1">
      <x:c r="A24" s="129" t="str">
        <x:v>6</x:v>
      </x:c>
      <x:c r="B24" s="130" t="str">
        <x:v>Changes are merged to main only after approval; tracker, roadmap and test evidence are updated.</x:v>
      </x:c>
      <x:c r="C24" s="130"/>
      <x:c r="D24" s="130"/>
      <x:c r="E24" s="130"/>
      <x:c r="F24" s="131"/>
    </x:row>
    <x:row r="25">
      <x:c r="A25" s="88"/>
      <x:c r="B25" s="88"/>
      <x:c r="C25" s="88"/>
      <x:c r="D25" s="88"/>
      <x:c r="E25" s="88"/>
      <x:c r="F25" s="88"/>
    </x:row>
    <x:row r="26">
      <x:c r="A26" s="122" t="str">
        <x:v>TRACKER UPDATE PROTOCOL</x:v>
      </x:c>
      <x:c r="B26" s="122"/>
      <x:c r="C26" s="122"/>
      <x:c r="D26" s="122"/>
      <x:c r="E26" s="122"/>
      <x:c r="F26" s="122"/>
    </x:row>
    <x:row r="27" ht="32" customHeight="1">
      <x:c r="A27" s="123" t="str">
        <x:v>1</x:v>
      </x:c>
      <x:c r="B27" s="124" t="str">
        <x:v>Update Status, Completion %, Evidence / Current State, Next Action and Owner on the same feature row.</x:v>
      </x:c>
      <x:c r="C27" s="124"/>
      <x:c r="D27" s="124"/>
      <x:c r="E27" s="124"/>
      <x:c r="F27" s="125"/>
    </x:row>
    <x:row r="28" ht="32" customHeight="1">
      <x:c r="A28" s="126" t="str">
        <x:v>2</x:v>
      </x:c>
      <x:c r="B28" s="127" t="str">
        <x:v>Update the Dashboard, Development Roadmap and Test Matrix when their state or evidence changes.</x:v>
      </x:c>
      <x:c r="C28" s="127"/>
      <x:c r="D28" s="127"/>
      <x:c r="E28" s="127"/>
      <x:c r="F28" s="128"/>
    </x:row>
    <x:row r="29" ht="32" customHeight="1">
      <x:c r="A29" s="126" t="str">
        <x:v>3</x:v>
      </x:c>
      <x:c r="B29" s="127" t="str">
        <x:v>Record the branch, commit, pull request and test results in Evidence / Current State.</x:v>
      </x:c>
      <x:c r="C29" s="127"/>
      <x:c r="D29" s="127"/>
      <x:c r="E29" s="127"/>
      <x:c r="F29" s="128"/>
    </x:row>
    <x:row r="30" ht="32" customHeight="1">
      <x:c r="A30" s="129" t="str">
        <x:v>4</x:v>
      </x:c>
      <x:c r="B30" s="130" t="str">
        <x:v>Replace this same master file/version; do not create disconnected 'latest' copies.</x:v>
      </x:c>
      <x:c r="C30" s="130"/>
      <x:c r="D30" s="130"/>
      <x:c r="E30" s="130"/>
      <x:c r="F30" s="131"/>
    </x:row>
    <x:row r="31">
      <x:c r="A31" s="88"/>
      <x:c r="B31" s="88"/>
      <x:c r="C31" s="88"/>
      <x:c r="D31" s="88"/>
      <x:c r="E31" s="88"/>
      <x:c r="F31" s="88"/>
    </x:row>
    <x:row r="32">
      <x:c r="A32" s="122" t="str">
        <x:v>EASY ACCESS — NO DOWNLOAD REQUIRED</x:v>
      </x:c>
      <x:c r="B32" s="122"/>
      <x:c r="C32" s="122"/>
      <x:c r="D32" s="122"/>
      <x:c r="E32" s="122"/>
      <x:c r="F32" s="122"/>
    </x:row>
    <x:row r="33" ht="32" customHeight="1">
      <x:c r="A33" s="123" t="str">
        <x:v>Project access</x:v>
      </x:c>
      <x:c r="B33" s="124" t="str">
        <x:v>Add this Library file to the JaniWheels Project Sources once so every chat in the project can use it.</x:v>
      </x:c>
      <x:c r="C33" s="124"/>
      <x:c r="D33" s="124"/>
      <x:c r="E33" s="124"/>
      <x:c r="F33" s="125"/>
    </x:row>
    <x:row r="34" ht="32" customHeight="1">
      <x:c r="A34" s="126" t="str">
        <x:v>Visual review</x:v>
      </x:c>
      <x:c r="B34" s="127" t="str">
        <x:v>Open the workbook from Project Sources or Library to use the in-app preview.</x:v>
      </x:c>
      <x:c r="C34" s="127"/>
      <x:c r="D34" s="127"/>
      <x:c r="E34" s="127"/>
      <x:c r="F34" s="128"/>
    </x:row>
    <x:row r="35" ht="32" customHeight="1">
      <x:c r="A35" s="126" t="str">
        <x:v>Chat prompts</x:v>
      </x:c>
      <x:c r="B35" s="127" t="str">
        <x:v>Ask: 'Show the current JaniWheels tracker dashboard' or 'What is the active work package?'</x:v>
      </x:c>
      <x:c r="C35" s="127"/>
      <x:c r="D35" s="127"/>
      <x:c r="E35" s="127"/>
      <x:c r="F35" s="128"/>
    </x:row>
    <x:row r="36" ht="32" customHeight="1">
      <x:c r="A36" s="129" t="str">
        <x:v>Latest master</x:v>
      </x:c>
      <x:c r="B36" s="130" t="str">
        <x:v>Future updates must replace the same Library file so its version history and identity remain intact.</x:v>
      </x:c>
      <x:c r="C36" s="130"/>
      <x:c r="D36" s="130"/>
      <x:c r="E36" s="130"/>
      <x:c r="F36" s="131"/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B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B23:F23"/>
    <x:mergeCell ref="B24:F24"/>
    <x:mergeCell ref="A26:F26"/>
    <x:mergeCell ref="B27:F27"/>
    <x:mergeCell ref="B28:F28"/>
    <x:mergeCell ref="B29:F29"/>
    <x:mergeCell ref="B30:F30"/>
    <x:mergeCell ref="A32:F32"/>
    <x:mergeCell ref="B33:F33"/>
    <x:mergeCell ref="B34:F34"/>
    <x:mergeCell ref="B35:F35"/>
    <x:mergeCell ref="B36:F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9" hidden="0" customWidth="1"/>
    <x:col min="4" max="4" width="44" hidden="0" customWidth="1"/>
    <x:col min="5" max="5" width="22" hidden="0" customWidth="1"/>
    <x:col min="6" max="6" width="31" hidden="0" customWidth="1"/>
    <x:col min="7" max="7" width="12" hidden="0" customWidth="1"/>
    <x:col min="8" max="8" width="14" hidden="0" customWidth="1"/>
    <x:col min="9" max="9" width="18" hidden="0" customWidth="1"/>
    <x:col min="10" max="10" width="18" hidden="0" customWidth="1"/>
    <x:col min="11" max="11" width="32" hidden="0" customWidth="1"/>
    <x:col min="12" max="12" width="52" hidden="0" customWidth="1"/>
    <x:col min="13" max="13" width="42" hidden="0" customWidth="1"/>
    <x:col min="14" max="14" width="48" hidden="0" customWidth="1"/>
    <x:col min="15" max="15" width="42" hidden="0" customWidth="1"/>
  </x:cols>
  <x:sheetData>
    <x:row r="1" ht="34" customHeight="1">
      <x:c r="A1" s="132" t="str">
        <x:v>JaniWheels Complete Functionality &amp; Development Status Tracker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</x:row>
    <x:row r="2" ht="24" customHeight="1">
      <x:c r="A2" s="133" t="str">
        <x:v>Repository reconciliation: 30 Sep 2026 | Homepage visuals approved by owner; commit 936baee pushed to origin/codex/homepage-visuals | Full checks, lint and build passed | Final cross-route browser/DB and live Google Maps acceptance remain open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  <x:c r="K3" s="88"/>
      <x:c r="L3" s="88"/>
      <x:c r="M3" s="88"/>
      <x:c r="N3" s="88"/>
      <x:c r="O3" s="88"/>
    </x:row>
    <x:row r="4" ht="38" customHeight="1">
      <x:c r="A4" s="134" t="str">
        <x:v>ID</x:v>
      </x:c>
      <x:c r="B4" s="134" t="str">
        <x:v>Module</x:v>
      </x:c>
      <x:c r="C4" s="134" t="str">
        <x:v>Feature</x:v>
      </x:c>
      <x:c r="D4" s="134" t="str">
        <x:v>Detailed Requirement</x:v>
      </x:c>
      <x:c r="E4" s="134" t="str">
        <x:v>Scope</x:v>
      </x:c>
      <x:c r="F4" s="134" t="str">
        <x:v>Status</x:v>
      </x:c>
      <x:c r="G4" s="134" t="str">
        <x:v>Completion</x:v>
      </x:c>
      <x:c r="H4" s="134" t="str">
        <x:v>Priority</x:v>
      </x:c>
      <x:c r="I4" s="134" t="str">
        <x:v>Development Stage</x:v>
      </x:c>
      <x:c r="J4" s="134" t="str">
        <x:v>Owner</x:v>
      </x:c>
      <x:c r="K4" s="134" t="str">
        <x:v>Dependency / Prerequisite</x:v>
      </x:c>
      <x:c r="L4" s="134" t="str">
        <x:v>Definition of Done / Acceptance Criteria</x:v>
      </x:c>
      <x:c r="M4" s="134" t="str">
        <x:v>Required Testing</x:v>
      </x:c>
      <x:c r="N4" s="134" t="str">
        <x:v>Current Evidence / Gap</x:v>
      </x:c>
      <x:c r="O4" s="134" t="str">
        <x:v>Next Action</x:v>
      </x:c>
    </x:row>
    <x:row r="5">
      <x:c r="A5" s="135" t="str">
        <x:v>JW-001</x:v>
      </x:c>
      <x:c r="B5" s="135" t="str">
        <x:v>Project Foundation</x:v>
      </x:c>
      <x:c r="C5" s="135" t="str">
        <x:v>Application architecture</x:v>
      </x:c>
      <x:c r="D5" s="136" t="str">
        <x:v>Next.js 15 App Router, React 19 and TypeScript foundation</x:v>
      </x:c>
      <x:c r="E5" s="136" t="str">
        <x:v>Technical Foundation</x:v>
      </x:c>
      <x:c r="F5" s="136" t="str">
        <x:v>Completed</x:v>
      </x:c>
      <x:c r="G5" s="137" t="n">
        <x:v>1</x:v>
      </x:c>
      <x:c r="H5" s="136" t="str">
        <x:v>High</x:v>
      </x:c>
      <x:c r="I5" s="136" t="str">
        <x:v>Stage 0</x:v>
      </x:c>
      <x:c r="J5" s="136" t="str">
        <x:v>Unassigned</x:v>
      </x:c>
      <x:c r="K5" s="136" t="str">
        <x:v>None</x:v>
      </x:c>
      <x:c r="L5" s="136" t="str">
        <x:v>Application compiles with strict TypeScript and routes use the shared App Router layout.</x:v>
      </x:c>
      <x:c r="M5" s="136" t="str">
        <x:v>Typecheck; production compilation; route smoke test</x:v>
      </x:c>
      <x:c r="N5" s="136" t="str">
        <x:v>Framework and scripts are present in package.json.</x:v>
      </x:c>
      <x:c r="O5" s="136" t="str">
        <x:v>Maintain during every feature branch.</x:v>
      </x:c>
    </x:row>
    <x:row r="6">
      <x:c r="A6" s="135" t="str">
        <x:v>JW-002</x:v>
      </x:c>
      <x:c r="B6" s="135" t="str">
        <x:v>Project Foundation</x:v>
      </x:c>
      <x:c r="C6" s="135" t="str">
        <x:v>Styling system</x:v>
      </x:c>
      <x:c r="D6" s="136" t="str">
        <x:v>Tailwind CSS 4 and shared responsive styling</x:v>
      </x:c>
      <x:c r="E6" s="136" t="str">
        <x:v>Technical Foundation</x:v>
      </x:c>
      <x:c r="F6" s="136" t="str">
        <x:v>Completed</x:v>
      </x:c>
      <x:c r="G6" s="137" t="n">
        <x:v>1</x:v>
      </x:c>
      <x:c r="H6" s="136" t="str">
        <x:v>High</x:v>
      </x:c>
      <x:c r="I6" s="136" t="str">
        <x:v>Stage 0</x:v>
      </x:c>
      <x:c r="J6" s="136" t="str">
        <x:v>Unassigned</x:v>
      </x:c>
      <x:c r="K6" s="136" t="str">
        <x:v>Application architecture</x:v>
      </x:c>
      <x:c r="L6" s="136" t="str">
        <x:v>Shared styles load on all routes without overflow or hydration defects.</x:v>
      </x:c>
      <x:c r="M6" s="136" t="str">
        <x:v>Desktop/tablet/mobile visual regression</x:v>
      </x:c>
      <x:c r="N6" s="136" t="str">
        <x:v>Tailwind and globals.css are active.</x:v>
      </x:c>
      <x:c r="O6" s="136" t="str">
        <x:v>Add reusable tokens/components as design matures.</x:v>
      </x:c>
    </x:row>
    <x:row r="7">
      <x:c r="A7" s="135" t="str">
        <x:v>JW-003</x:v>
      </x:c>
      <x:c r="B7" s="135" t="str">
        <x:v>Project Foundation</x:v>
      </x:c>
      <x:c r="C7" s="135" t="str">
        <x:v>Database architecture</x:v>
      </x:c>
      <x:c r="D7" s="136" t="str">
        <x:v>PostgreSQL with Drizzle ORM and relational V1 schema</x:v>
      </x:c>
      <x:c r="E7" s="136" t="str">
        <x:v>Technical Foundation</x:v>
      </x:c>
      <x:c r="F7" s="136" t="str">
        <x:v>Completed</x:v>
      </x:c>
      <x:c r="G7" s="137" t="n">
        <x:v>1</x:v>
      </x:c>
      <x:c r="H7" s="136" t="str">
        <x:v>Critical</x:v>
      </x:c>
      <x:c r="I7" s="136" t="str">
        <x:v>Stage 0</x:v>
      </x:c>
      <x:c r="J7" s="136" t="str">
        <x:v>Unassigned</x:v>
      </x:c>
      <x:c r="K7" s="136" t="str">
        <x:v>PostgreSQL</x:v>
      </x:c>
      <x:c r="L7" s="136" t="str">
        <x:v>All V1 tables migrate on a clean database and foreign keys/indexes are valid.</x:v>
      </x:c>
      <x:c r="M7" s="136" t="str">
        <x:v>Clean migration; rollback plan review; schema integrity test</x:v>
      </x:c>
      <x:c r="N7" s="136" t="str">
        <x:v>V1 migration and schema files exist.</x:v>
      </x:c>
      <x:c r="O7" s="136" t="str">
        <x:v>Add migrations per feature; never edit production data manually.</x:v>
      </x:c>
    </x:row>
    <x:row r="8">
      <x:c r="A8" s="135" t="str">
        <x:v>JW-004</x:v>
      </x:c>
      <x:c r="B8" s="135" t="str">
        <x:v>Project Foundation</x:v>
      </x:c>
      <x:c r="C8" s="135" t="str">
        <x:v>Reference data seeds</x:v>
      </x:c>
      <x:c r="D8" s="136" t="str">
        <x:v>Cities, areas, makes, models, variants, features and part categories</x:v>
      </x:c>
      <x:c r="E8" s="136" t="str">
        <x:v>Technical Foundation</x:v>
      </x:c>
      <x:c r="F8" s="136" t="str">
        <x:v>Completed</x:v>
      </x:c>
      <x:c r="G8" s="137" t="n">
        <x:v>1</x:v>
      </x:c>
      <x:c r="H8" s="136" t="str">
        <x:v>Critical</x:v>
      </x:c>
      <x:c r="I8" s="136" t="str">
        <x:v>Stage 0</x:v>
      </x:c>
      <x:c r="J8" s="136" t="str">
        <x:v>Unassigned</x:v>
      </x:c>
      <x:c r="K8" s="136" t="str">
        <x:v>Database schema</x:v>
      </x:c>
      <x:c r="L8" s="136" t="str">
        <x:v>Seed runs repeatedly without duplicate/conflicting taxonomy records.</x:v>
      </x:c>
      <x:c r="M8" s="136" t="str">
        <x:v>Fresh seed; idempotency; taxonomy count checks</x:v>
      </x:c>
      <x:c r="N8" s="136" t="str">
        <x:v>db:seed scripts are present and working locally.</x:v>
      </x:c>
      <x:c r="O8" s="136" t="str">
        <x:v>Expand and validate production taxonomy before launch.</x:v>
      </x:c>
    </x:row>
    <x:row r="9">
      <x:c r="A9" s="135" t="str">
        <x:v>JW-005</x:v>
      </x:c>
      <x:c r="B9" s="135" t="str">
        <x:v>Project Foundation</x:v>
      </x:c>
      <x:c r="C9" s="135" t="str">
        <x:v>Demo inventory seed</x:v>
      </x:c>
      <x:c r="D9" s="136" t="str">
        <x:v>Non-production demonstration listings</x:v>
      </x:c>
      <x:c r="E9" s="136" t="str">
        <x:v>Technical Foundation</x:v>
      </x:c>
      <x:c r="F9" s="136" t="str">
        <x:v>Completed</x:v>
      </x:c>
      <x:c r="G9" s="137" t="n">
        <x:v>1</x:v>
      </x:c>
      <x:c r="H9" s="136" t="str">
        <x:v>Low</x:v>
      </x:c>
      <x:c r="I9" s="136" t="str">
        <x:v>Stage 0</x:v>
      </x:c>
      <x:c r="J9" s="136" t="str">
        <x:v>Unassigned</x:v>
      </x:c>
      <x:c r="K9" s="136" t="str">
        <x:v>Reference data</x:v>
      </x:c>
      <x:c r="L9" s="136" t="str">
        <x:v>Demo seed creates representative cars, bikes and parts only in development.</x:v>
      </x:c>
      <x:c r="M9" s="136" t="str">
        <x:v>Run on disposable DB; verify never included in deployment</x:v>
      </x:c>
      <x:c r="N9" s="136" t="str">
        <x:v>src/db/seed/demo.ts exists.</x:v>
      </x:c>
      <x:c r="O9" s="136" t="str">
        <x:v>Keep explicit production warning.</x:v>
      </x:c>
    </x:row>
    <x:row r="10">
      <x:c r="A10" s="135" t="str">
        <x:v>JW-006</x:v>
      </x:c>
      <x:c r="B10" s="135" t="str">
        <x:v>Project Foundation</x:v>
      </x:c>
      <x:c r="C10" s="135" t="str">
        <x:v>Environment template</x:v>
      </x:c>
      <x:c r="D10" s="136" t="str">
        <x:v>Document required database, site, auth, media and cron variables</x:v>
      </x:c>
      <x:c r="E10" s="136" t="str">
        <x:v>Technical Foundation</x:v>
      </x:c>
      <x:c r="F10" s="136" t="str">
        <x:v>Partially Implemented</x:v>
      </x:c>
      <x:c r="G10" s="137" t="n">
        <x:v>0.7</x:v>
      </x:c>
      <x:c r="H10" s="136" t="str">
        <x:v>High</x:v>
      </x:c>
      <x:c r="I10" s="136" t="str">
        <x:v>Stage 0</x:v>
      </x:c>
      <x:c r="J10" s="136" t="str">
        <x:v>Unassigned</x:v>
      </x:c>
      <x:c r="K10" s="136" t="str">
        <x:v>Deployment decisions</x:v>
      </x:c>
      <x:c r="L10" s="136" t="str">
        <x:v>Every documented variable maps to an implemented provider and startup validation catches missing values.</x:v>
      </x:c>
      <x:c r="M10" s="136" t="str">
        <x:v>Boot with missing/valid variables; configuration audit</x:v>
      </x:c>
      <x:c r="N10" s="136" t="str">
        <x:v>.env.example exists, but S3 variables are listed while S3 storage is not implemented.</x:v>
      </x:c>
      <x:c r="O10" s="136" t="str">
        <x:v>Align the environment template with the selected production provider.</x:v>
      </x:c>
    </x:row>
    <x:row r="11">
      <x:c r="A11" s="135" t="str">
        <x:v>JW-007</x:v>
      </x:c>
      <x:c r="B11" s="135" t="str">
        <x:v>Project Foundation</x:v>
      </x:c>
      <x:c r="C11" s="135" t="str">
        <x:v>GitHub workflow</x:v>
      </x:c>
      <x:c r="D11" s="136" t="str">
        <x:v>Feature branch, commit, push, local review and approved merge</x:v>
      </x:c>
      <x:c r="E11" s="136" t="str">
        <x:v>Technical Foundation</x:v>
      </x:c>
      <x:c r="F11" s="136" t="str">
        <x:v>Completed</x:v>
      </x:c>
      <x:c r="G11" s="137" t="n">
        <x:v>1</x:v>
      </x:c>
      <x:c r="H11" s="136" t="str">
        <x:v>Critical</x:v>
      </x:c>
      <x:c r="I11" s="136" t="str">
        <x:v>Stage 0</x:v>
      </x:c>
      <x:c r="J11" s="136" t="str">
        <x:v>Unassigned</x:v>
      </x:c>
      <x:c r="K11" s="136" t="str">
        <x:v>GitHub access</x:v>
      </x:c>
      <x:c r="L11" s="136" t="str">
        <x:v>No feature is merged before local review and explicit approval.</x:v>
      </x:c>
      <x:c r="M11" s="136" t="str">
        <x:v>Branch protection/process review</x:v>
      </x:c>
      <x:c r="N11" s="136" t="str">
        <x:v>PR #1 merged; PR #2 is open for homepage review.</x:v>
      </x:c>
      <x:c r="O11" s="136" t="str">
        <x:v>Continue one logical feature per branch.</x:v>
      </x:c>
    </x:row>
    <x:row r="12">
      <x:c r="A12" s="135" t="str">
        <x:v>JW-008</x:v>
      </x:c>
      <x:c r="B12" s="135" t="str">
        <x:v>Project Foundation</x:v>
      </x:c>
      <x:c r="C12" s="135" t="str">
        <x:v>CI pipeline</x:v>
      </x:c>
      <x:c r="D12" s="136" t="str">
        <x:v>Automated typecheck, lint, tests and build on pull requests</x:v>
      </x:c>
      <x:c r="E12" s="136" t="str">
        <x:v>Technical Foundation</x:v>
      </x:c>
      <x:c r="F12" s="136" t="str">
        <x:v>Partially Implemented</x:v>
      </x:c>
      <x:c r="G12" s="137" t="n">
        <x:v>0.85</x:v>
      </x:c>
      <x:c r="H12" s="136" t="str">
        <x:v>Critical</x:v>
      </x:c>
      <x:c r="I12" s="136" t="str">
        <x:v>Stage 6</x:v>
      </x:c>
      <x:c r="J12" s="136" t="str">
        <x:v>Unassigned</x:v>
      </x:c>
      <x:c r="K12" s="136" t="str">
        <x:v>GitHub Actions</x:v>
      </x:c>
      <x:c r="L12" s="136" t="str">
        <x:v>Every PR is blocked when any required check fails.</x:v>
      </x:c>
      <x:c r="M12" s="136" t="str">
        <x:v>Deliberately failing test; protected-branch verification</x:v>
      </x:c>
      <x:c r="N12" s="136" t="str">
        <x:v>PR #6 CI passes migrations, seed, DB tests, checks, lint, build, sweep and Chromium. Production dependency audit added as a blocking job step.</x:v>
      </x:c>
      <x:c r="O12" s="136" t="str">
        <x:v>Mark check required in branch protection and demonstrate deliberate failure blocks merge.</x:v>
      </x:c>
    </x:row>
    <x:row r="13">
      <x:c r="A13" s="135" t="str">
        <x:v>JW-009</x:v>
      </x:c>
      <x:c r="B13" s="135" t="str">
        <x:v>Project Foundation</x:v>
      </x:c>
      <x:c r="C13" s="135" t="str">
        <x:v>Staging environment</x:v>
      </x:c>
      <x:c r="D13" s="136" t="str">
        <x:v>Persistent online preview connected to a staging database and media store</x:v>
      </x:c>
      <x:c r="E13" s="136" t="str">
        <x:v>Technical Foundation</x:v>
      </x:c>
      <x:c r="F13" s="136" t="str">
        <x:v>Pending</x:v>
      </x:c>
      <x:c r="G13" s="137" t="n">
        <x:v>0</x:v>
      </x:c>
      <x:c r="H13" s="136" t="str">
        <x:v>High</x:v>
      </x:c>
      <x:c r="I13" s="136" t="str">
        <x:v>Stage 6</x:v>
      </x:c>
      <x:c r="J13" s="136" t="str">
        <x:v>Unassigned</x:v>
      </x:c>
      <x:c r="K13" s="136" t="str">
        <x:v>Hosting, DB, image provider</x:v>
      </x:c>
      <x:c r="L13" s="136" t="str">
        <x:v>Each review branch can be tested without using production data or production secrets.</x:v>
      </x:c>
      <x:c r="M13" s="136" t="str">
        <x:v>Deployment smoke; robots noindex; data isolation</x:v>
      </x:c>
      <x:c r="N13" s="136" t="str">
        <x:v>CI creates an isolated ephemeral test environment; persistent hosted preview is not configured.</x:v>
      </x:c>
      <x:c r="O13" s="136" t="str">
        <x:v>Select hosting, separate staging DB and durable media; then verify noindex and deployment smoke.</x:v>
      </x:c>
    </x:row>
    <x:row r="14">
      <x:c r="A14" s="135" t="str">
        <x:v>JW-010</x:v>
      </x:c>
      <x:c r="B14" s="135" t="str">
        <x:v>Project Foundation</x:v>
      </x:c>
      <x:c r="C14" s="135" t="str">
        <x:v>Safe production build</x:v>
      </x:c>
      <x:c r="D14" s="136" t="str">
        <x:v>Separate Next.js build directory while dev server runs</x:v>
      </x:c>
      <x:c r="E14" s="136" t="str">
        <x:v>Technical Foundation</x:v>
      </x:c>
      <x:c r="F14" s="136" t="str">
        <x:v>Completed</x:v>
      </x:c>
      <x:c r="G14" s="137" t="n">
        <x:v>1</x:v>
      </x:c>
      <x:c r="H14" s="136" t="str">
        <x:v>Medium</x:v>
      </x:c>
      <x:c r="I14" s="136" t="str">
        <x:v>Stage 0</x:v>
      </x:c>
      <x:c r="J14" s="136" t="str">
        <x:v>Unassigned</x:v>
      </x:c>
      <x:c r="K14" s="136" t="str">
        <x:v>Build scripts</x:v>
      </x:c>
      <x:c r="L14" s="136" t="str">
        <x:v>Build does not corrupt the active development .next directory.</x:v>
      </x:c>
      <x:c r="M14" s="136" t="str">
        <x:v>Run dev and build:safe concurrently</x:v>
      </x:c>
      <x:c r="N14" s="136" t="str">
        <x:v>build:safe writes to .next-build.</x:v>
      </x:c>
      <x:c r="O14" s="136" t="str">
        <x:v>Keep this as the standard build command.</x:v>
      </x:c>
    </x:row>
    <x:row r="15">
      <x:c r="A15" s="135" t="str">
        <x:v>JW-011</x:v>
      </x:c>
      <x:c r="B15" s="135" t="str">
        <x:v>Project Foundation</x:v>
      </x:c>
      <x:c r="C15" s="135" t="str">
        <x:v>Whole-site route sweep</x:v>
      </x:c>
      <x:c r="D15" s="136" t="str">
        <x:v>Crawl routes, headings, errors and broken local images</x:v>
      </x:c>
      <x:c r="E15" s="136" t="str">
        <x:v>Technical Foundation</x:v>
      </x:c>
      <x:c r="F15" s="136" t="str">
        <x:v>Completed</x:v>
      </x:c>
      <x:c r="G15" s="137" t="n">
        <x:v>1</x:v>
      </x:c>
      <x:c r="H15" s="136" t="str">
        <x:v>High</x:v>
      </x:c>
      <x:c r="I15" s="136" t="str">
        <x:v>Stage 0</x:v>
      </x:c>
      <x:c r="J15" s="136" t="str">
        <x:v>Unassigned</x:v>
      </x:c>
      <x:c r="K15" s="136" t="str">
        <x:v>Running app and seeded DB</x:v>
      </x:c>
      <x:c r="L15" s="136" t="str">
        <x:v>Sweep returns zero issues for static routes, facets, details and dealer pages.</x:v>
      </x:c>
      <x:c r="M15" s="136" t="str">
        <x:v>npm run sweep on every route-changing branch</x:v>
      </x:c>
      <x:c r="N15" s="136" t="str">
        <x:v>scripts/sweep.ts covers principal route shapes.</x:v>
      </x:c>
      <x:c r="O15" s="136" t="str">
        <x:v>Extend as new routes are added.</x:v>
      </x:c>
    </x:row>
    <x:row r="16">
      <x:c r="A16" s="135" t="str">
        <x:v>JW-012</x:v>
      </x:c>
      <x:c r="B16" s="135" t="str">
        <x:v>Project Foundation</x:v>
      </x:c>
      <x:c r="C16" s="135" t="str">
        <x:v>Unit and integration test framework</x:v>
      </x:c>
      <x:c r="D16" s="136" t="str">
        <x:v>Automated business-logic and database tests beyond SEO assertions</x:v>
      </x:c>
      <x:c r="E16" s="136" t="str">
        <x:v>Technical Foundation</x:v>
      </x:c>
      <x:c r="F16" s="136" t="str">
        <x:v>Partially Implemented</x:v>
      </x:c>
      <x:c r="G16" s="137" t="n">
        <x:v>0.45</x:v>
      </x:c>
      <x:c r="H16" s="136" t="str">
        <x:v>Critical</x:v>
      </x:c>
      <x:c r="I16" s="136" t="str">
        <x:v>Stage 1</x:v>
      </x:c>
      <x:c r="J16" s="136" t="str">
        <x:v>Unassigned</x:v>
      </x:c>
      <x:c r="K16" s="136" t="str">
        <x:v>Test runner and isolated DB</x:v>
      </x:c>
      <x:c r="L16" s="136" t="str">
        <x:v>Critical actions are tested for success, validation, authorization and rollback.</x:v>
      </x:c>
      <x:c r="M16" s="136" t="str">
        <x:v>Unit; integration; transaction tests</x:v>
      </x:c>
      <x:c r="N16" s="136" t="str">
        <x:v>Node test runner validates seeded reference data, all three inventory verticals and taxonomy facet integrity on isolated PostgreSQL.</x:v>
      </x:c>
      <x:c r="O16" s="136" t="str">
        <x:v>Add transactional success/validation/authorization/rollback tests for critical actions.</x:v>
      </x:c>
    </x:row>
    <x:row r="17">
      <x:c r="A17" s="135" t="str">
        <x:v>JW-013</x:v>
      </x:c>
      <x:c r="B17" s="135" t="str">
        <x:v>Project Foundation</x:v>
      </x:c>
      <x:c r="C17" s="135" t="str">
        <x:v>End-to-end browser tests</x:v>
      </x:c>
      <x:c r="D17" s="136" t="str">
        <x:v>Automate key buyer, seller, dealer and admin journeys</x:v>
      </x:c>
      <x:c r="E17" s="136" t="str">
        <x:v>Technical Foundation</x:v>
      </x:c>
      <x:c r="F17" s="136" t="str">
        <x:v>Partially Implemented</x:v>
      </x:c>
      <x:c r="G17" s="137" t="n">
        <x:v>0.97</x:v>
      </x:c>
      <x:c r="H17" s="136" t="str">
        <x:v>Critical</x:v>
      </x:c>
      <x:c r="I17" s="136" t="str">
        <x:v>Stage 1</x:v>
      </x:c>
      <x:c r="J17" s="136" t="str">
        <x:v>Unassigned</x:v>
      </x:c>
      <x:c r="K17" s="136" t="str">
        <x:v>Stable staging/test DB</x:v>
      </x:c>
      <x:c r="L17" s="136" t="str">
        <x:v>Core journeys pass in Chromium at desktop and mobile viewports.</x:v>
      </x:c>
      <x:c r="M17" s="136" t="str">
        <x:v>E2E happy path; negative path; accessibility</x:v>
      </x:c>
      <x:c r="N17" s="136" t="str">
        <x:v>Desktop/mobile Chromium: 51 passed, 1 desktop skip; 100-route sweep has 0 issues. Isolated PostgreSQL confirms verified-email registration, password-reset lifecycle, listings, dealer, assistance, moderation, ban/unban and report safety hold.</x:v>
      </x:c>
      <x:c r="O17" s="136" t="str">
        <x:v>Add authenticated reporting, listing-linked inspection and remaining negative/direct-action paths; final live device acceptance remains open.</x:v>
      </x:c>
    </x:row>
    <x:row r="18">
      <x:c r="A18" s="135" t="str">
        <x:v>JW-014</x:v>
      </x:c>
      <x:c r="B18" s="135" t="str">
        <x:v>Project Foundation</x:v>
      </x:c>
      <x:c r="C18" s="135" t="str">
        <x:v>Dependency security</x:v>
      </x:c>
      <x:c r="D18" s="136" t="str">
        <x:v>Monitor and resolve vulnerable packages without unsafe forced upgrades</x:v>
      </x:c>
      <x:c r="E18" s="136" t="str">
        <x:v>Technical Foundation</x:v>
      </x:c>
      <x:c r="F18" s="136" t="str">
        <x:v>Completed</x:v>
      </x:c>
      <x:c r="G18" s="137" t="n">
        <x:v>1</x:v>
      </x:c>
      <x:c r="H18" s="136" t="str">
        <x:v>Critical</x:v>
      </x:c>
      <x:c r="I18" s="136" t="str">
        <x:v>Stage 1</x:v>
      </x:c>
      <x:c r="J18" s="136" t="str">
        <x:v>Unassigned</x:v>
      </x:c>
      <x:c r="K18" s="136" t="str">
        <x:v>Package audit</x:v>
      </x:c>
      <x:c r="L18" s="136" t="str">
        <x:v>No unresolved high/critical production vulnerability remains at launch.</x:v>
      </x:c>
      <x:c r="M18" s="136" t="str">
        <x:v>npm audit review; regression build</x:v>
      </x:c>
      <x:c r="N18" s="136" t="str">
        <x:v>30 Sep 2026: Next.js 15.5.26, sharp 0.35.5 and patched PostCSS/js-yaml installed. npm audit --omit=dev reports zero vulnerabilities; checks, lint, build, 100-route sweep and 13 Chromium tests pass.</x:v>
      </x:c>
      <x:c r="O18" s="136" t="str">
        <x:v>Monitor advisories in CI; four moderate development-only esbuild advisories await a compatible upstream Drizzle kit update.</x:v>
      </x:c>
    </x:row>
    <x:row r="19">
      <x:c r="A19" s="135" t="str">
        <x:v>JW-015</x:v>
      </x:c>
      <x:c r="B19" s="135" t="str">
        <x:v>Homepage &amp; Global UI</x:v>
      </x:c>
      <x:c r="C19" s="135" t="str">
        <x:v>Official brand logo</x:v>
      </x:c>
      <x:c r="D19" s="136" t="str">
        <x:v>Transparent JaniWheels logo in global header/footer</x:v>
      </x:c>
      <x:c r="E19" s="136" t="str">
        <x:v>Signed V1</x:v>
      </x:c>
      <x:c r="F19" s="136" t="str">
        <x:v>Completed</x:v>
      </x:c>
      <x:c r="G19" s="137" t="n">
        <x:v>1</x:v>
      </x:c>
      <x:c r="H19" s="136" t="str">
        <x:v>High</x:v>
      </x:c>
      <x:c r="I19" s="136" t="str">
        <x:v>Stage 0</x:v>
      </x:c>
      <x:c r="J19" s="136" t="str">
        <x:v>Unassigned</x:v>
      </x:c>
      <x:c r="K19" s="136" t="str">
        <x:v>Homepage branch review</x:v>
      </x:c>
      <x:c r="L19" s="136" t="str">
        <x:v>Approved logo renders sharply on light/dark backgrounds and mobile.</x:v>
      </x:c>
      <x:c r="M19" s="136" t="str">
        <x:v>Visual check; image dimensions; alt text</x:v>
      </x:c>
      <x:c r="N19" s="136" t="str">
        <x:v>Homepage redesign is present in current branch ancestry and automated project checks pass; final branding/responsive acceptance is intentionally deferred.</x:v>
      </x:c>
      <x:c r="O19" s="136" t="str">
        <x:v>Retain in final regression and comprehensive browser QA.</x:v>
      </x:c>
    </x:row>
    <x:row r="20">
      <x:c r="A20" s="135" t="str">
        <x:v>JW-016</x:v>
      </x:c>
      <x:c r="B20" s="135" t="str">
        <x:v>Homepage &amp; Global UI</x:v>
      </x:c>
      <x:c r="C20" s="135" t="str">
        <x:v>Sticky desktop header</x:v>
      </x:c>
      <x:c r="D20" s="136" t="str">
        <x:v>Logo, scoped navigation, account and Post an Ad action</x:v>
      </x:c>
      <x:c r="E20" s="136" t="str">
        <x:v>Signed V1</x:v>
      </x:c>
      <x:c r="F20" s="136" t="str">
        <x:v>Completed</x:v>
      </x:c>
      <x:c r="G20" s="137" t="n">
        <x:v>1</x:v>
      </x:c>
      <x:c r="H20" s="136" t="str">
        <x:v>High</x:v>
      </x:c>
      <x:c r="I20" s="136" t="str">
        <x:v>Stage 0</x:v>
      </x:c>
      <x:c r="J20" s="136" t="str">
        <x:v>Unassigned</x:v>
      </x:c>
      <x:c r="K20" s="136" t="str">
        <x:v>Working routes</x:v>
      </x:c>
      <x:c r="L20" s="136" t="str">
        <x:v>Header remains usable while scrolling and contains no dead/out-of-scope links.</x:v>
      </x:c>
      <x:c r="M20" s="136" t="str">
        <x:v>Keyboard navigation; responsive; route links</x:v>
      </x:c>
      <x:c r="N20" s="136" t="str">
        <x:v>Homepage redesign is present in current branch ancestry and automated project checks pass; final branding/responsive acceptance is intentionally deferred.</x:v>
      </x:c>
      <x:c r="O20" s="136" t="str">
        <x:v>Retain in final regression and comprehensive browser QA.</x:v>
      </x:c>
    </x:row>
    <x:row r="21">
      <x:c r="A21" s="135" t="str">
        <x:v>JW-017</x:v>
      </x:c>
      <x:c r="B21" s="135" t="str">
        <x:v>Homepage &amp; Global UI</x:v>
      </x:c>
      <x:c r="C21" s="135" t="str">
        <x:v>Mobile navigation</x:v>
      </x:c>
      <x:c r="D21" s="136" t="str">
        <x:v>Accessible compact navigation menu with Post an Ad</x:v>
      </x:c>
      <x:c r="E21" s="136" t="str">
        <x:v>Signed V1</x:v>
      </x:c>
      <x:c r="F21" s="136" t="str">
        <x:v>Completed</x:v>
      </x:c>
      <x:c r="G21" s="137" t="n">
        <x:v>1</x:v>
      </x:c>
      <x:c r="H21" s="136" t="str">
        <x:v>Critical</x:v>
      </x:c>
      <x:c r="I21" s="136" t="str">
        <x:v>Stage 0</x:v>
      </x:c>
      <x:c r="J21" s="136" t="str">
        <x:v>Unassigned</x:v>
      </x:c>
      <x:c r="K21" s="136" t="str">
        <x:v>Header</x:v>
      </x:c>
      <x:c r="L21" s="136" t="str">
        <x:v>Menu opens, links are tappable, focus is usable and no horizontal overflow occurs.</x:v>
      </x:c>
      <x:c r="M21" s="136" t="str">
        <x:v>360/390/414 px; keyboard; screen reader labels</x:v>
      </x:c>
      <x:c r="N21" s="136" t="str">
        <x:v>Homepage redesign is present in current branch ancestry and automated project checks pass; final branding/responsive acceptance is intentionally deferred.</x:v>
      </x:c>
      <x:c r="O21" s="136" t="str">
        <x:v>Retain in final regression and comprehensive browser QA.</x:v>
      </x:c>
    </x:row>
    <x:row r="22">
      <x:c r="A22" s="135" t="str">
        <x:v>JW-018</x:v>
      </x:c>
      <x:c r="B22" s="135" t="str">
        <x:v>Homepage &amp; Global UI</x:v>
      </x:c>
      <x:c r="C22" s="135" t="str">
        <x:v>Hero section</x:v>
      </x:c>
      <x:c r="D22" s="136" t="str">
        <x:v>Premium black/charcoal automotive hero with gold accents</x:v>
      </x:c>
      <x:c r="E22" s="136" t="str">
        <x:v>Signed V1</x:v>
      </x:c>
      <x:c r="F22" s="136" t="str">
        <x:v>Completed</x:v>
      </x:c>
      <x:c r="G22" s="137" t="n">
        <x:v>1</x:v>
      </x:c>
      <x:c r="H22" s="136" t="str">
        <x:v>Medium</x:v>
      </x:c>
      <x:c r="I22" s="136" t="str">
        <x:v>Stage 0</x:v>
      </x:c>
      <x:c r="J22" s="136" t="str">
        <x:v>Unassigned</x:v>
      </x:c>
      <x:c r="K22" s="136" t="str">
        <x:v>Brand assets</x:v>
      </x:c>
      <x:c r="L22" s="136" t="str">
        <x:v>Hero hierarchy is clear and does not delay LCP with heavy media.</x:v>
      </x:c>
      <x:c r="M22" s="136" t="str">
        <x:v>Visual regression; performance; contrast</x:v>
      </x:c>
      <x:c r="N22" s="136" t="str">
        <x:v>Three-frame sedan/SUV/bike hero with optimized assets, decorative alt text and reduced-motion fallback was visually approved by owner and pushed in 936baee. Full checks, lint and 128 kB max First Load JS build passed.</x:v>
      </x:c>
      <x:c r="O22" s="136" t="str">
        <x:v>Retain hero transitions and reduced-motion behavior in final regression and responsive QA.</x:v>
      </x:c>
    </x:row>
    <x:row r="23">
      <x:c r="A23" s="135" t="str">
        <x:v>JW-019</x:v>
      </x:c>
      <x:c r="B23" s="135" t="str">
        <x:v>Homepage &amp; Global UI</x:v>
      </x:c>
      <x:c r="C23" s="135" t="str">
        <x:v>Homepage category tabs</x:v>
      </x:c>
      <x:c r="D23" s="136" t="str">
        <x:v>Cars, Bikes and Auto Parts switcher</x:v>
      </x:c>
      <x:c r="E23" s="136" t="str">
        <x:v>Signed V1</x:v>
      </x:c>
      <x:c r="F23" s="136" t="str">
        <x:v>Completed</x:v>
      </x:c>
      <x:c r="G23" s="137" t="n">
        <x:v>1</x:v>
      </x:c>
      <x:c r="H23" s="136" t="str">
        <x:v>High</x:v>
      </x:c>
      <x:c r="I23" s="136" t="str">
        <x:v>Stage 0</x:v>
      </x:c>
      <x:c r="J23" s="136" t="str">
        <x:v>Unassigned</x:v>
      </x:c>
      <x:c r="K23" s="136" t="str">
        <x:v>Taxonomy data</x:v>
      </x:c>
      <x:c r="L23" s="136" t="str">
        <x:v>Changing category resets incompatible fields and builds the correct browse URL.</x:v>
      </x:c>
      <x:c r="M23" s="136" t="str">
        <x:v>All three tabs; reset state; keyboard</x:v>
      </x:c>
      <x:c r="N23" s="136" t="str">
        <x:v>Homepage redesign is present in current branch ancestry and automated project checks pass; final branding/responsive acceptance is intentionally deferred.</x:v>
      </x:c>
      <x:c r="O23" s="136" t="str">
        <x:v>Retain in final regression and comprehensive browser QA.</x:v>
      </x:c>
    </x:row>
    <x:row r="24">
      <x:c r="A24" s="135" t="str">
        <x:v>JW-020</x:v>
      </x:c>
      <x:c r="B24" s="135" t="str">
        <x:v>Homepage &amp; Global UI</x:v>
      </x:c>
      <x:c r="C24" s="135" t="str">
        <x:v>Homepage primary search</x:v>
      </x:c>
      <x:c r="D24" s="136" t="str">
        <x:v>Make/model/category and location selectors with real routes</x:v>
      </x:c>
      <x:c r="E24" s="136" t="str">
        <x:v>Signed V1</x:v>
      </x:c>
      <x:c r="F24" s="136" t="str">
        <x:v>Completed</x:v>
      </x:c>
      <x:c r="G24" s="137" t="n">
        <x:v>1</x:v>
      </x:c>
      <x:c r="H24" s="136" t="str">
        <x:v>Critical</x:v>
      </x:c>
      <x:c r="I24" s="136" t="str">
        <x:v>Stage 0</x:v>
      </x:c>
      <x:c r="J24" s="136" t="str">
        <x:v>Unassigned</x:v>
      </x:c>
      <x:c r="K24" s="136" t="str">
        <x:v>Search route parser</x:v>
      </x:c>
      <x:c r="L24" s="136" t="str">
        <x:v>Every selection produces a canonical working results URL and no fake counts.</x:v>
      </x:c>
      <x:c r="M24" s="136" t="str">
        <x:v>Cars/bikes/parts combinations; empty selection</x:v>
      </x:c>
      <x:c r="N24" s="136" t="str">
        <x:v>Homepage redesign is present in current branch ancestry and automated project checks pass; final branding/responsive acceptance is intentionally deferred.</x:v>
      </x:c>
      <x:c r="O24" s="136" t="str">
        <x:v>Retain in final regression and comprehensive browser QA.</x:v>
      </x:c>
    </x:row>
    <x:row r="25">
      <x:c r="A25" s="135" t="str">
        <x:v>JW-021</x:v>
      </x:c>
      <x:c r="B25" s="135" t="str">
        <x:v>Homepage &amp; Global UI</x:v>
      </x:c>
      <x:c r="C25" s="135" t="str">
        <x:v>Homepage secondary filters</x:v>
      </x:c>
      <x:c r="D25" s="136" t="str">
        <x:v>Minimum/maximum price and model year</x:v>
      </x:c>
      <x:c r="E25" s="136" t="str">
        <x:v>Signed V1</x:v>
      </x:c>
      <x:c r="F25" s="136" t="str">
        <x:v>Completed</x:v>
      </x:c>
      <x:c r="G25" s="137" t="n">
        <x:v>1</x:v>
      </x:c>
      <x:c r="H25" s="136" t="str">
        <x:v>High</x:v>
      </x:c>
      <x:c r="I25" s="136" t="str">
        <x:v>Stage 0</x:v>
      </x:c>
      <x:c r="J25" s="136" t="str">
        <x:v>Unassigned</x:v>
      </x:c>
      <x:c r="K25" s="136" t="str">
        <x:v>Range parsing</x:v>
      </x:c>
      <x:c r="L25" s="136" t="str">
        <x:v>Valid ranges filter correctly; invalid/inverted inputs are handled clearly.</x:v>
      </x:c>
      <x:c r="M25" s="136" t="str">
        <x:v>Boundary; empty; inverted ranges; mobile drawer</x:v>
      </x:c>
      <x:c r="N25" s="136" t="str">
        <x:v>Homepage redesign is present in current branch ancestry and automated project checks pass; final branding/responsive acceptance is intentionally deferred.</x:v>
      </x:c>
      <x:c r="O25" s="136" t="str">
        <x:v>Retain in final regression and comprehensive browser QA.</x:v>
      </x:c>
    </x:row>
    <x:row r="26">
      <x:c r="A26" s="135" t="str">
        <x:v>JW-022</x:v>
      </x:c>
      <x:c r="B26" s="135" t="str">
        <x:v>Homepage &amp; Global UI</x:v>
      </x:c>
      <x:c r="C26" s="135" t="str">
        <x:v>Mobile more-filters panel</x:v>
      </x:c>
      <x:c r="D26" s="136" t="str">
        <x:v>Secondary filters collapsed on mobile</x:v>
      </x:c>
      <x:c r="E26" s="136" t="str">
        <x:v>Signed V1</x:v>
      </x:c>
      <x:c r="F26" s="136" t="str">
        <x:v>Completed</x:v>
      </x:c>
      <x:c r="G26" s="137" t="n">
        <x:v>1</x:v>
      </x:c>
      <x:c r="H26" s="136" t="str">
        <x:v>High</x:v>
      </x:c>
      <x:c r="I26" s="136" t="str">
        <x:v>Stage 0</x:v>
      </x:c>
      <x:c r="J26" s="136" t="str">
        <x:v>Unassigned</x:v>
      </x:c>
      <x:c r="K26" s="136" t="str">
        <x:v>Homepage filters</x:v>
      </x:c>
      <x:c r="L26" s="136" t="str">
        <x:v>Panel is discoverable, keyboard operable and preserves selected values.</x:v>
      </x:c>
      <x:c r="M26" s="136" t="str">
        <x:v>Mobile interaction; focus; screen reader</x:v>
      </x:c>
      <x:c r="N26" s="136" t="str">
        <x:v>Homepage redesign is present in current branch ancestry and automated project checks pass; final branding/responsive acceptance is intentionally deferred.</x:v>
      </x:c>
      <x:c r="O26" s="136" t="str">
        <x:v>Retain in final regression and comprehensive browser QA.</x:v>
      </x:c>
    </x:row>
    <x:row r="27">
      <x:c r="A27" s="135" t="str">
        <x:v>JW-023</x:v>
      </x:c>
      <x:c r="B27" s="135" t="str">
        <x:v>Homepage &amp; Global UI</x:v>
      </x:c>
      <x:c r="C27" s="135" t="str">
        <x:v>Browse by body type</x:v>
      </x:c>
      <x:c r="D27" s="136" t="str">
        <x:v>Swipeable car body-type navigation</x:v>
      </x:c>
      <x:c r="E27" s="136" t="str">
        <x:v>Signed V1</x:v>
      </x:c>
      <x:c r="F27" s="136" t="str">
        <x:v>Completed</x:v>
      </x:c>
      <x:c r="G27" s="137" t="n">
        <x:v>1</x:v>
      </x:c>
      <x:c r="H27" s="136" t="str">
        <x:v>Medium</x:v>
      </x:c>
      <x:c r="I27" s="136" t="str">
        <x:v>Stage 0</x:v>
      </x:c>
      <x:c r="J27" s="136" t="str">
        <x:v>Unassigned</x:v>
      </x:c>
      <x:c r="K27" s="136" t="str">
        <x:v>Body-type facet</x:v>
      </x:c>
      <x:c r="L27" s="136" t="str">
        <x:v>Each supported body type opens the correct filtered results.</x:v>
      </x:c>
      <x:c r="M27" s="136" t="str">
        <x:v>Every displayed body type; horizontal swipe</x:v>
      </x:c>
      <x:c r="N27" s="136" t="str">
        <x:v>Eight distinct optimized WebP body-type images were visually approved by owner and pushed in 936baee; branding regression checks pass.</x:v>
      </x:c>
      <x:c r="O27" s="136" t="str">
        <x:v>Retain all eight browse cards in final responsive and link regression QA.</x:v>
      </x:c>
    </x:row>
    <x:row r="28">
      <x:c r="A28" s="135" t="str">
        <x:v>JW-024</x:v>
      </x:c>
      <x:c r="B28" s="135" t="str">
        <x:v>Homepage &amp; Global UI</x:v>
      </x:c>
      <x:c r="C28" s="135" t="str">
        <x:v>Latest listings</x:v>
      </x:c>
      <x:c r="D28" s="136" t="str">
        <x:v>Cars, bikes and parts tabs with genuine active inventory</x:v>
      </x:c>
      <x:c r="E28" s="136" t="str">
        <x:v>Signed V1</x:v>
      </x:c>
      <x:c r="F28" s="136" t="str">
        <x:v>Completed</x:v>
      </x:c>
      <x:c r="G28" s="137" t="n">
        <x:v>1</x:v>
      </x:c>
      <x:c r="H28" s="136" t="str">
        <x:v>High</x:v>
      </x:c>
      <x:c r="I28" s="136" t="str">
        <x:v>Stage 0</x:v>
      </x:c>
      <x:c r="J28" s="136" t="str">
        <x:v>Unassigned</x:v>
      </x:c>
      <x:c r="K28" s="136" t="str">
        <x:v>Active listings</x:v>
      </x:c>
      <x:c r="L28" s="136" t="str">
        <x:v>Shows up to eight genuine active listings per vertical and accurate empty states.</x:v>
      </x:c>
      <x:c r="M28" s="136" t="str">
        <x:v>Data states; tab switching; card links</x:v>
      </x:c>
      <x:c r="N28" s="136" t="str">
        <x:v>Homepage redesign is present in current branch ancestry and automated project checks pass; final branding/responsive acceptance is intentionally deferred.</x:v>
      </x:c>
      <x:c r="O28" s="136" t="str">
        <x:v>Retain in final regression and comprehensive browser QA.</x:v>
      </x:c>
    </x:row>
    <x:row r="29">
      <x:c r="A29" s="135" t="str">
        <x:v>JW-025</x:v>
      </x:c>
      <x:c r="B29" s="135" t="str">
        <x:v>Homepage &amp; Global UI</x:v>
      </x:c>
      <x:c r="C29" s="135" t="str">
        <x:v>Verified dealers section</x:v>
      </x:c>
      <x:c r="D29" s="136" t="str">
        <x:v>Show only records with verifiedAt and accurate live listing counts</x:v>
      </x:c>
      <x:c r="E29" s="136" t="str">
        <x:v>Signed V1</x:v>
      </x:c>
      <x:c r="F29" s="136" t="str">
        <x:v>Completed</x:v>
      </x:c>
      <x:c r="G29" s="137" t="n">
        <x:v>1</x:v>
      </x:c>
      <x:c r="H29" s="136" t="str">
        <x:v>High</x:v>
      </x:c>
      <x:c r="I29" s="136" t="str">
        <x:v>Stage 0</x:v>
      </x:c>
      <x:c r="J29" s="136" t="str">
        <x:v>Unassigned</x:v>
      </x:c>
      <x:c r="K29" s="136" t="str">
        <x:v>Dealer verification data</x:v>
      </x:c>
      <x:c r="L29" s="136" t="str">
        <x:v>No unverified dealer receives a verified badge; section hides when empty.</x:v>
      </x:c>
      <x:c r="M29" s="136" t="str">
        <x:v>Verified/unverified/empty data cases</x:v>
      </x:c>
      <x:c r="N29" s="136" t="str">
        <x:v>Homepage redesign is present in current branch ancestry and automated project checks pass; final branding/responsive acceptance is intentionally deferred.</x:v>
      </x:c>
      <x:c r="O29" s="136" t="str">
        <x:v>Retain in final regression and comprehensive browser QA.</x:v>
      </x:c>
    </x:row>
    <x:row r="30">
      <x:c r="A30" s="135" t="str">
        <x:v>JW-026</x:v>
      </x:c>
      <x:c r="B30" s="135" t="str">
        <x:v>Homepage &amp; Global UI</x:v>
      </x:c>
      <x:c r="C30" s="135" t="str">
        <x:v>Inspection service section</x:v>
      </x:c>
      <x:c r="D30" s="136" t="str">
        <x:v>Request-based service card linked to /inspection</x:v>
      </x:c>
      <x:c r="E30" s="136" t="str">
        <x:v>Signed V1</x:v>
      </x:c>
      <x:c r="F30" s="136" t="str">
        <x:v>Completed</x:v>
      </x:c>
      <x:c r="G30" s="137" t="n">
        <x:v>1</x:v>
      </x:c>
      <x:c r="H30" s="136" t="str">
        <x:v>Medium</x:v>
      </x:c>
      <x:c r="I30" s="136" t="str">
        <x:v>Stage 0</x:v>
      </x:c>
      <x:c r="J30" s="136" t="str">
        <x:v>Unassigned</x:v>
      </x:c>
      <x:c r="K30" s="136" t="str">
        <x:v>Inspection route</x:v>
      </x:c>
      <x:c r="L30" s="136" t="str">
        <x:v>Copy makes no promise of automatic booking, pricing, scoring or payment.</x:v>
      </x:c>
      <x:c r="M30" s="136" t="str">
        <x:v>Link; copy review; responsive</x:v>
      </x:c>
      <x:c r="N30" s="136" t="str">
        <x:v>Homepage redesign is present in current branch ancestry and automated project checks pass; final branding/responsive acceptance is intentionally deferred.</x:v>
      </x:c>
      <x:c r="O30" s="136" t="str">
        <x:v>Retain in final regression and comprehensive browser QA.</x:v>
      </x:c>
    </x:row>
    <x:row r="31">
      <x:c r="A31" s="135" t="str">
        <x:v>JW-027</x:v>
      </x:c>
      <x:c r="B31" s="135" t="str">
        <x:v>Homepage &amp; Global UI</x:v>
      </x:c>
      <x:c r="C31" s="135" t="str">
        <x:v>Sell banner</x:v>
      </x:c>
      <x:c r="D31" s="136" t="str">
        <x:v>Post an Ad conversion banner</x:v>
      </x:c>
      <x:c r="E31" s="136" t="str">
        <x:v>Signed V1</x:v>
      </x:c>
      <x:c r="F31" s="136" t="str">
        <x:v>Completed</x:v>
      </x:c>
      <x:c r="G31" s="137" t="n">
        <x:v>1</x:v>
      </x:c>
      <x:c r="H31" s="136" t="str">
        <x:v>Medium</x:v>
      </x:c>
      <x:c r="I31" s="136" t="str">
        <x:v>Stage 0</x:v>
      </x:c>
      <x:c r="J31" s="136" t="str">
        <x:v>Unassigned</x:v>
      </x:c>
      <x:c r="K31" s="136" t="str">
        <x:v>Sell route</x:v>
      </x:c>
      <x:c r="L31" s="136" t="str">
        <x:v>CTA opens the working listing creation route and remains prominent on mobile.</x:v>
      </x:c>
      <x:c r="M31" s="136" t="str">
        <x:v>Link; responsive; contrast</x:v>
      </x:c>
      <x:c r="N31" s="136" t="str">
        <x:v>Optimized dark-sedan seller spotlight and reduced-motion fallback were visually approved by owner and pushed in 936baee.</x:v>
      </x:c>
      <x:c r="O31" s="136" t="str">
        <x:v>Retain banner readability and cropping in final responsive QA.</x:v>
      </x:c>
    </x:row>
    <x:row r="32">
      <x:c r="A32" s="135" t="str">
        <x:v>JW-028</x:v>
      </x:c>
      <x:c r="B32" s="135" t="str">
        <x:v>Homepage &amp; Global UI</x:v>
      </x:c>
      <x:c r="C32" s="135" t="str">
        <x:v>How it works</x:v>
      </x:c>
      <x:c r="D32" s="136" t="str">
        <x:v>Search, review and direct seller contact steps</x:v>
      </x:c>
      <x:c r="E32" s="136" t="str">
        <x:v>Signed V1</x:v>
      </x:c>
      <x:c r="F32" s="136" t="str">
        <x:v>Completed</x:v>
      </x:c>
      <x:c r="G32" s="137" t="n">
        <x:v>1</x:v>
      </x:c>
      <x:c r="H32" s="136" t="str">
        <x:v>Low</x:v>
      </x:c>
      <x:c r="I32" s="136" t="str">
        <x:v>Stage 0</x:v>
      </x:c>
      <x:c r="J32" s="136" t="str">
        <x:v>Unassigned</x:v>
      </x:c>
      <x:c r="K32" s="136" t="str">
        <x:v>Core buyer workflow</x:v>
      </x:c>
      <x:c r="L32" s="136" t="str">
        <x:v>Wording only describes currently supported behavior.</x:v>
      </x:c>
      <x:c r="M32" s="136" t="str">
        <x:v>Content and responsive review</x:v>
      </x:c>
      <x:c r="N32" s="136" t="str">
        <x:v>Homepage redesign is present in current branch ancestry and automated project checks pass; final branding/responsive acceptance is intentionally deferred.</x:v>
      </x:c>
      <x:c r="O32" s="136" t="str">
        <x:v>Retain in final regression and comprehensive browser QA.</x:v>
      </x:c>
    </x:row>
    <x:row r="33">
      <x:c r="A33" s="135" t="str">
        <x:v>JW-029</x:v>
      </x:c>
      <x:c r="B33" s="135" t="str">
        <x:v>Homepage &amp; Global UI</x:v>
      </x:c>
      <x:c r="C33" s="135" t="str">
        <x:v>Trust and safety</x:v>
      </x:c>
      <x:c r="D33" s="136" t="str">
        <x:v>Dealer badges, moderation and reporting explanation</x:v>
      </x:c>
      <x:c r="E33" s="136" t="str">
        <x:v>Signed V1</x:v>
      </x:c>
      <x:c r="F33" s="136" t="str">
        <x:v>Completed</x:v>
      </x:c>
      <x:c r="G33" s="137" t="n">
        <x:v>1</x:v>
      </x:c>
      <x:c r="H33" s="136" t="str">
        <x:v>Medium</x:v>
      </x:c>
      <x:c r="I33" s="136" t="str">
        <x:v>Stage 0</x:v>
      </x:c>
      <x:c r="J33" s="136" t="str">
        <x:v>Unassigned</x:v>
      </x:c>
      <x:c r="K33" s="136" t="str">
        <x:v>Trust workflows</x:v>
      </x:c>
      <x:c r="L33" s="136" t="str">
        <x:v>Does not claim every listing is verified or inspected.</x:v>
      </x:c>
      <x:c r="M33" s="136" t="str">
        <x:v>Content accuracy; link checks</x:v>
      </x:c>
      <x:c r="N33" s="136" t="str">
        <x:v>Homepage redesign is present in current branch ancestry and automated project checks pass; final branding/responsive acceptance is intentionally deferred.</x:v>
      </x:c>
      <x:c r="O33" s="136" t="str">
        <x:v>Retain in final regression and comprehensive browser QA.</x:v>
      </x:c>
    </x:row>
    <x:row r="34">
      <x:c r="A34" s="135" t="str">
        <x:v>JW-030</x:v>
      </x:c>
      <x:c r="B34" s="135" t="str">
        <x:v>Homepage &amp; Global UI</x:v>
      </x:c>
      <x:c r="C34" s="135" t="str">
        <x:v>Footer</x:v>
      </x:c>
      <x:c r="D34" s="136" t="str">
        <x:v>Marketplace/service links and Tech Orbit Systems attribution</x:v>
      </x:c>
      <x:c r="E34" s="136" t="str">
        <x:v>Signed V1</x:v>
      </x:c>
      <x:c r="F34" s="136" t="str">
        <x:v>Completed</x:v>
      </x:c>
      <x:c r="G34" s="137" t="n">
        <x:v>1</x:v>
      </x:c>
      <x:c r="H34" s="136" t="str">
        <x:v>Medium</x:v>
      </x:c>
      <x:c r="I34" s="136" t="str">
        <x:v>Stage 0</x:v>
      </x:c>
      <x:c r="J34" s="136" t="str">
        <x:v>Unassigned</x:v>
      </x:c>
      <x:c r="K34" s="136" t="str">
        <x:v>Available routes</x:v>
      </x:c>
      <x:c r="L34" s="136" t="str">
        <x:v>No dead links; Tech Orbit Systems opens https://techorbitsystems.com/ safely.</x:v>
      </x:c>
      <x:c r="M34" s="136" t="str">
        <x:v>All links; external rel attributes; mobile</x:v>
      </x:c>
      <x:c r="N34" s="136" t="str">
        <x:v>Homepage redesign is present in current branch ancestry and automated project checks pass; final branding/responsive acceptance is intentionally deferred.</x:v>
      </x:c>
      <x:c r="O34" s="136" t="str">
        <x:v>Retain in final regression and comprehensive browser QA.</x:v>
      </x:c>
    </x:row>
    <x:row r="35">
      <x:c r="A35" s="135" t="str">
        <x:v>JW-031</x:v>
      </x:c>
      <x:c r="B35" s="135" t="str">
        <x:v>Homepage &amp; Global UI</x:v>
      </x:c>
      <x:c r="C35" s="135" t="str">
        <x:v>Recently viewed section</x:v>
      </x:c>
      <x:c r="D35" s="136" t="str">
        <x:v>Conditional row based on visitor history</x:v>
      </x:c>
      <x:c r="E35" s="136" t="str">
        <x:v>Signed V1</x:v>
      </x:c>
      <x:c r="F35" s="136" t="str">
        <x:v>Completed</x:v>
      </x:c>
      <x:c r="G35" s="137" t="n">
        <x:v>1</x:v>
      </x:c>
      <x:c r="H35" s="136" t="str">
        <x:v>Medium</x:v>
      </x:c>
      <x:c r="I35" s="136" t="str">
        <x:v>Stage 3</x:v>
      </x:c>
      <x:c r="J35" s="136" t="str">
        <x:v>Unassigned</x:v>
      </x:c>
      <x:c r="K35" s="136" t="str">
        <x:v>Recently viewed persistence</x:v>
      </x:c>
      <x:c r="L35" s="136" t="str">
        <x:v>Section appears only with valid history and excludes removed/private listings.</x:v>
      </x:c>
      <x:c r="M35" s="136" t="str">
        <x:v>Anonymous/auth users; empty; stale items</x:v>
      </x:c>
      <x:c r="N35" s="136" t="str">
        <x:v>Recently viewed and saved-search prompt UI are implemented in the buyer discovery package.</x:v>
      </x:c>
      <x:c r="O35" s="136" t="str">
        <x:v>Retain in final regression and comprehensive browser QA.</x:v>
      </x:c>
    </x:row>
    <x:row r="36">
      <x:c r="A36" s="135" t="str">
        <x:v>JW-032</x:v>
      </x:c>
      <x:c r="B36" s="135" t="str">
        <x:v>Homepage &amp; Global UI</x:v>
      </x:c>
      <x:c r="C36" s="135" t="str">
        <x:v>Saved search prompt</x:v>
      </x:c>
      <x:c r="D36" s="136" t="str">
        <x:v>Save current search and receive matching alerts</x:v>
      </x:c>
      <x:c r="E36" s="136" t="str">
        <x:v>Signed V1</x:v>
      </x:c>
      <x:c r="F36" s="136" t="str">
        <x:v>Completed</x:v>
      </x:c>
      <x:c r="G36" s="137" t="n">
        <x:v>1</x:v>
      </x:c>
      <x:c r="H36" s="136" t="str">
        <x:v>Medium</x:v>
      </x:c>
      <x:c r="I36" s="136" t="str">
        <x:v>Stage 3</x:v>
      </x:c>
      <x:c r="J36" s="136" t="str">
        <x:v>Unassigned</x:v>
      </x:c>
      <x:c r="K36" s="136" t="str">
        <x:v>Saved search UI and alert engine</x:v>
      </x:c>
      <x:c r="L36" s="136" t="str">
        <x:v>Prompt creates a saved search and shows clear alert frequency/consent.</x:v>
      </x:c>
      <x:c r="M36" s="136" t="str">
        <x:v>Auth redirect; save; duplicate; alert delivery</x:v>
      </x:c>
      <x:c r="N36" s="136" t="str">
        <x:v>Recently viewed and saved-search prompt UI are implemented in the buyer discovery package.</x:v>
      </x:c>
      <x:c r="O36" s="136" t="str">
        <x:v>Retain in final regression and comprehensive browser QA.</x:v>
      </x:c>
    </x:row>
    <x:row r="37">
      <x:c r="A37" s="135" t="str">
        <x:v>JW-033</x:v>
      </x:c>
      <x:c r="B37" s="135" t="str">
        <x:v>Homepage &amp; Global UI</x:v>
      </x:c>
      <x:c r="C37" s="135" t="str">
        <x:v>Sell My Car Assistance card</x:v>
      </x:c>
      <x:c r="D37" s="136" t="str">
        <x:v>Second approved assistance service</x:v>
      </x:c>
      <x:c r="E37" s="136" t="str">
        <x:v>Signed V1</x:v>
      </x:c>
      <x:c r="F37" s="136" t="str">
        <x:v>Completed</x:v>
      </x:c>
      <x:c r="G37" s="137" t="n">
        <x:v>1</x:v>
      </x:c>
      <x:c r="H37" s="136" t="str">
        <x:v>High</x:v>
      </x:c>
      <x:c r="I37" s="136" t="str">
        <x:v>Stage 5</x:v>
      </x:c>
      <x:c r="J37" s="136" t="str">
        <x:v>Unassigned</x:v>
      </x:c>
      <x:c r="K37" s="136" t="str">
        <x:v>Sell My Car workflow</x:v>
      </x:c>
      <x:c r="L37" s="136" t="str">
        <x:v>Card links to a complete request flow with admin follow-up.</x:v>
      </x:c>
      <x:c r="M37" s="136" t="str">
        <x:v>Submission; validation; admin status</x:v>
      </x:c>
      <x:c r="N37" s="136" t="str">
        <x:v>Sell My Car Assistance homepage entry and request workflow are implemented.</x:v>
      </x:c>
      <x:c r="O37" s="136" t="str">
        <x:v>Retain in final regression and comprehensive browser QA.</x:v>
      </x:c>
    </x:row>
    <x:row r="38">
      <x:c r="A38" s="135" t="str">
        <x:v>JW-034</x:v>
      </x:c>
      <x:c r="B38" s="135" t="str">
        <x:v>Homepage &amp; Global UI</x:v>
      </x:c>
      <x:c r="C38" s="135" t="str">
        <x:v>Homepage accessibility</x:v>
      </x:c>
      <x:c r="D38" s="136" t="str">
        <x:v>Keyboard, focus, landmarks, labels and contrast</x:v>
      </x:c>
      <x:c r="E38" s="136" t="str">
        <x:v>Signed V1</x:v>
      </x:c>
      <x:c r="F38" s="136" t="str">
        <x:v>Partially Implemented</x:v>
      </x:c>
      <x:c r="G38" s="137" t="n">
        <x:v>0.75</x:v>
      </x:c>
      <x:c r="H38" s="136" t="str">
        <x:v>High</x:v>
      </x:c>
      <x:c r="I38" s="136" t="str">
        <x:v>Stage 6</x:v>
      </x:c>
      <x:c r="J38" s="136" t="str">
        <x:v>Unassigned</x:v>
      </x:c>
      <x:c r="K38" s="136" t="str">
        <x:v>Merged UI</x:v>
      </x:c>
      <x:c r="L38" s="136" t="str">
        <x:v>WCAG-oriented manual and automated audit finds no critical issues.</x:v>
      </x:c>
      <x:c r="M38" s="136" t="str">
        <x:v>axe; keyboard-only; zoom 200%; contrast</x:v>
      </x:c>
      <x:c r="N38" s="136" t="str">
        <x:v>Shared shell has keyboard focus and skip link; decorative hero imagery has reduced-motion fallback. Owner approved homepage visuals and 936baee is pushed; comprehensive accessibility audit remains open.</x:v>
      </x:c>
      <x:c r="O38" s="136" t="str">
        <x:v>Run keyboard, screen-reader, contrast and reduced-motion acceptance across primary flows during final QA.</x:v>
      </x:c>
    </x:row>
    <x:row r="39">
      <x:c r="A39" s="135" t="str">
        <x:v>JW-035</x:v>
      </x:c>
      <x:c r="B39" s="135" t="str">
        <x:v>Homepage &amp; Global UI</x:v>
      </x:c>
      <x:c r="C39" s="135" t="str">
        <x:v>Responsive visual QA</x:v>
      </x:c>
      <x:c r="D39" s="136" t="str">
        <x:v>Desktop, tablet and mobile review with real data</x:v>
      </x:c>
      <x:c r="E39" s="136" t="str">
        <x:v>Signed V1</x:v>
      </x:c>
      <x:c r="F39" s="136" t="str">
        <x:v>Partially Implemented</x:v>
      </x:c>
      <x:c r="G39" s="137" t="n">
        <x:v>0.8</x:v>
      </x:c>
      <x:c r="H39" s="136" t="str">
        <x:v>High</x:v>
      </x:c>
      <x:c r="I39" s="136" t="str">
        <x:v>Stage 0</x:v>
      </x:c>
      <x:c r="J39" s="136" t="str">
        <x:v>Unassigned</x:v>
      </x:c>
      <x:c r="K39" s="136" t="str">
        <x:v>Local branch preview</x:v>
      </x:c>
      <x:c r="L39" s="136" t="str">
        <x:v>No clipping, overflow, overlap or unusable tap targets at agreed viewports.</x:v>
      </x:c>
      <x:c r="M39" s="136" t="str">
        <x:v>1440, 1024, 768, 414, 390, 360 px</x:v>
      </x:c>
      <x:c r="N39" s="136" t="str">
        <x:v>Owner approved homepage visual package and 936baee is pushed. Earlier 320px/1440px primary-route checks found no overflow; comprehensive cross-route responsive acceptance remains open.</x:v>
      </x:c>
      <x:c r="O39" s="136" t="str">
        <x:v>Complete desktop/tablet/mobile visual acceptance across buyer, seller, dealer and admin flows.</x:v>
      </x:c>
    </x:row>
    <x:row r="40">
      <x:c r="A40" s="135" t="str">
        <x:v>JW-036</x:v>
      </x:c>
      <x:c r="B40" s="135" t="str">
        <x:v>Authentication</x:v>
      </x:c>
      <x:c r="C40" s="135" t="str">
        <x:v>User registration</x:v>
      </x:c>
      <x:c r="D40" s="136" t="str">
        <x:v>Name, email, optional Pakistani mobile number and password registration with verified email before sign-in</x:v>
      </x:c>
      <x:c r="E40" s="136" t="str">
        <x:v>Signed V1</x:v>
      </x:c>
      <x:c r="F40" s="136" t="str">
        <x:v>Completed</x:v>
      </x:c>
      <x:c r="G40" s="137" t="n">
        <x:v>1</x:v>
      </x:c>
      <x:c r="H40" s="136" t="str">
        <x:v>Critical</x:v>
      </x:c>
      <x:c r="I40" s="136" t="str">
        <x:v>Stage 1</x:v>
      </x:c>
      <x:c r="J40" s="136" t="str">
        <x:v>Unassigned</x:v>
      </x:c>
      <x:c r="K40" s="136" t="str">
        <x:v>Users table</x:v>
      </x:c>
      <x:c r="L40" s="136" t="str">
        <x:v>Valid unique user receives verification email, verifies once and can then sign in; invalid/duplicate data returns safe field errors.</x:v>
      </x:c>
      <x:c r="M40" s="136" t="str">
        <x:v>Happy path; duplicates; invalid phone/email/password; DB failure</x:v>
      </x:c>
      <x:c r="N40" s="136" t="str">
        <x:v>Desktop/mobile Chromium and isolated PostgreSQL confirm registration, email verification, one-use and expiry checks, and no session before verification; duplicate email and malformed name/password are rejected without a new user.</x:v>
      </x:c>
      <x:c r="O40" s="136" t="str">
        <x:v>Production email provider configuration and final live browser acceptance remain open; direct-action invalid email/phone and DB-failure cases remain in security regression.</x:v>
      </x:c>
    </x:row>
    <x:row r="41">
      <x:c r="A41" s="135" t="str">
        <x:v>JW-037</x:v>
      </x:c>
      <x:c r="B41" s="135" t="str">
        <x:v>Authentication</x:v>
      </x:c>
      <x:c r="C41" s="135" t="str">
        <x:v>User login</x:v>
      </x:c>
      <x:c r="D41" s="136" t="str">
        <x:v>Mobile-number and password authentication</x:v>
      </x:c>
      <x:c r="E41" s="136" t="str">
        <x:v>Signed V1</x:v>
      </x:c>
      <x:c r="F41" s="136" t="str">
        <x:v>Completed</x:v>
      </x:c>
      <x:c r="G41" s="137" t="n">
        <x:v>1</x:v>
      </x:c>
      <x:c r="H41" s="136" t="str">
        <x:v>Critical</x:v>
      </x:c>
      <x:c r="I41" s="136" t="str">
        <x:v>Stage 1</x:v>
      </x:c>
      <x:c r="J41" s="136" t="str">
        <x:v>Unassigned</x:v>
      </x:c>
      <x:c r="K41" s="136" t="str">
        <x:v>Registered account</x:v>
      </x:c>
      <x:c r="L41" s="136" t="str">
        <x:v>Correct credentials create a session; wrong/banned credentials reveal no sensitive distinction.</x:v>
      </x:c>
      <x:c r="M41" s="136" t="str">
        <x:v>Valid; wrong password; unknown user; banned user</x:v>
      </x:c>
      <x:c r="N41" s="136" t="str">
        <x:v>Implemented with dummy-hash timing protection.</x:v>
      </x:c>
      <x:c r="O41" s="136" t="str">
        <x:v>Add rate limiting and integration tests.</x:v>
      </x:c>
    </x:row>
    <x:row r="42">
      <x:c r="A42" s="135" t="str">
        <x:v>JW-038</x:v>
      </x:c>
      <x:c r="B42" s="135" t="str">
        <x:v>Authentication</x:v>
      </x:c>
      <x:c r="C42" s="135" t="str">
        <x:v>Logout</x:v>
      </x:c>
      <x:c r="D42" s="136" t="str">
        <x:v>Destroy server session and clear cookie</x:v>
      </x:c>
      <x:c r="E42" s="136" t="str">
        <x:v>Signed V1</x:v>
      </x:c>
      <x:c r="F42" s="136" t="str">
        <x:v>Completed</x:v>
      </x:c>
      <x:c r="G42" s="137" t="n">
        <x:v>1</x:v>
      </x:c>
      <x:c r="H42" s="136" t="str">
        <x:v>High</x:v>
      </x:c>
      <x:c r="I42" s="136" t="str">
        <x:v>Stage 1</x:v>
      </x:c>
      <x:c r="J42" s="136" t="str">
        <x:v>Unassigned</x:v>
      </x:c>
      <x:c r="K42" s="136" t="str">
        <x:v>Active session</x:v>
      </x:c>
      <x:c r="L42" s="136" t="str">
        <x:v>Logout invalidates the database session and returns to the homepage.</x:v>
      </x:c>
      <x:c r="M42" s="136" t="str">
        <x:v>Cookie/session deletion; repeated logout</x:v>
      </x:c>
      <x:c r="N42" s="136" t="str">
        <x:v>Account menu wires logoutAction.</x:v>
      </x:c>
      <x:c r="O42" s="136" t="str">
        <x:v>Add E2E test.</x:v>
      </x:c>
    </x:row>
    <x:row r="43">
      <x:c r="A43" s="135" t="str">
        <x:v>JW-039</x:v>
      </x:c>
      <x:c r="B43" s="135" t="str">
        <x:v>Authentication</x:v>
      </x:c>
      <x:c r="C43" s="135" t="str">
        <x:v>Session security</x:v>
      </x:c>
      <x:c r="D43" s="136" t="str">
        <x:v>Random token cookie with hashed token stored in database</x:v>
      </x:c>
      <x:c r="E43" s="136" t="str">
        <x:v>Signed V1</x:v>
      </x:c>
      <x:c r="F43" s="136" t="str">
        <x:v>Completed</x:v>
      </x:c>
      <x:c r="G43" s="137" t="n">
        <x:v>1</x:v>
      </x:c>
      <x:c r="H43" s="136" t="str">
        <x:v>Critical</x:v>
      </x:c>
      <x:c r="I43" s="136" t="str">
        <x:v>Stage 1</x:v>
      </x:c>
      <x:c r="J43" s="136" t="str">
        <x:v>Unassigned</x:v>
      </x:c>
      <x:c r="K43" s="136" t="str">
        <x:v>Session table</x:v>
      </x:c>
      <x:c r="L43" s="136" t="str">
        <x:v>Cookie is HTTP-only, SameSite=Lax and Secure in production; DB leak does not expose raw tokens.</x:v>
      </x:c>
      <x:c r="M43" s="136" t="str">
        <x:v>Cookie flags; expiry; tampered token</x:v>
      </x:c>
      <x:c r="N43" s="136" t="str">
        <x:v>Implemented in session.ts.</x:v>
      </x:c>
      <x:c r="O43" s="136" t="str">
        <x:v>Verify on HTTPS staging.</x:v>
      </x:c>
    </x:row>
    <x:row r="44">
      <x:c r="A44" s="135" t="str">
        <x:v>JW-040</x:v>
      </x:c>
      <x:c r="B44" s="135" t="str">
        <x:v>Authentication</x:v>
      </x:c>
      <x:c r="C44" s="135" t="str">
        <x:v>Session expiry</x:v>
      </x:c>
      <x:c r="D44" s="136" t="str">
        <x:v>Reject expired sessions and purge them through cron</x:v>
      </x:c>
      <x:c r="E44" s="136" t="str">
        <x:v>Signed V1</x:v>
      </x:c>
      <x:c r="F44" s="136" t="str">
        <x:v>Completed</x:v>
      </x:c>
      <x:c r="G44" s="137" t="n">
        <x:v>1</x:v>
      </x:c>
      <x:c r="H44" s="136" t="str">
        <x:v>High</x:v>
      </x:c>
      <x:c r="I44" s="136" t="str">
        <x:v>Stage 1</x:v>
      </x:c>
      <x:c r="J44" s="136" t="str">
        <x:v>Unassigned</x:v>
      </x:c>
      <x:c r="K44" s="136" t="str">
        <x:v>Cron scheduler</x:v>
      </x:c>
      <x:c r="L44" s="136" t="str">
        <x:v>Expired sessions cannot authenticate and scheduled purge runs reliably.</x:v>
      </x:c>
      <x:c r="M44" s="136" t="str">
        <x:v>Expired cookie; purge job auth; scheduler failure</x:v>
      </x:c>
      <x:c r="N44" s="136" t="str">
        <x:v>Account-management implementation includes session handling and secure password-reset flow; automated checks pass.</x:v>
      </x:c>
      <x:c r="O44" s="136" t="str">
        <x:v>Retain in final regression and comprehensive browser QA.</x:v>
      </x:c>
    </x:row>
    <x:row r="45">
      <x:c r="A45" s="135" t="str">
        <x:v>JW-041</x:v>
      </x:c>
      <x:c r="B45" s="135" t="str">
        <x:v>Authentication</x:v>
      </x:c>
      <x:c r="C45" s="135" t="str">
        <x:v>Safe post-login redirect</x:v>
      </x:c>
      <x:c r="D45" s="136" t="str">
        <x:v>Allow only same-site relative next destinations</x:v>
      </x:c>
      <x:c r="E45" s="136" t="str">
        <x:v>Signed V1</x:v>
      </x:c>
      <x:c r="F45" s="136" t="str">
        <x:v>Completed</x:v>
      </x:c>
      <x:c r="G45" s="137" t="n">
        <x:v>1</x:v>
      </x:c>
      <x:c r="H45" s="136" t="str">
        <x:v>High</x:v>
      </x:c>
      <x:c r="I45" s="136" t="str">
        <x:v>Stage 1</x:v>
      </x:c>
      <x:c r="J45" s="136" t="str">
        <x:v>Unassigned</x:v>
      </x:c>
      <x:c r="K45" s="136" t="str">
        <x:v>Login flow</x:v>
      </x:c>
      <x:c r="L45" s="136" t="str">
        <x:v>External or protocol-relative redirect values are rejected.</x:v>
      </x:c>
      <x:c r="M45" s="136" t="str">
        <x:v>Open-redirect payloads; valid internal paths</x:v>
      </x:c>
      <x:c r="N45" s="136" t="str">
        <x:v>safeNext is implemented.</x:v>
      </x:c>
      <x:c r="O45" s="136" t="str">
        <x:v>Add unit tests.</x:v>
      </x:c>
    </x:row>
    <x:row r="46">
      <x:c r="A46" s="135" t="str">
        <x:v>JW-042</x:v>
      </x:c>
      <x:c r="B46" s="135" t="str">
        <x:v>Authentication</x:v>
      </x:c>
      <x:c r="C46" s="135" t="str">
        <x:v>Password hashing</x:v>
      </x:c>
      <x:c r="D46" s="136" t="str">
        <x:v>Scrypt password storage and constant-time verification behavior</x:v>
      </x:c>
      <x:c r="E46" s="136" t="str">
        <x:v>Signed V1</x:v>
      </x:c>
      <x:c r="F46" s="136" t="str">
        <x:v>Completed</x:v>
      </x:c>
      <x:c r="G46" s="137" t="n">
        <x:v>1</x:v>
      </x:c>
      <x:c r="H46" s="136" t="str">
        <x:v>Critical</x:v>
      </x:c>
      <x:c r="I46" s="136" t="str">
        <x:v>Stage 1</x:v>
      </x:c>
      <x:c r="J46" s="136" t="str">
        <x:v>Unassigned</x:v>
      </x:c>
      <x:c r="K46" s="136" t="str">
        <x:v>Auth actions</x:v>
      </x:c>
      <x:c r="L46" s="136" t="str">
        <x:v>No plaintext password is stored or logged.</x:v>
      </x:c>
      <x:c r="M46" s="136" t="str">
        <x:v>Hash format; valid/invalid password; timing review</x:v>
      </x:c>
      <x:c r="N46" s="136" t="str">
        <x:v>Password utility is in use.</x:v>
      </x:c>
      <x:c r="O46" s="136" t="str">
        <x:v>Add security unit tests.</x:v>
      </x:c>
    </x:row>
    <x:row r="47">
      <x:c r="A47" s="135" t="str">
        <x:v>JW-043</x:v>
      </x:c>
      <x:c r="B47" s="135" t="str">
        <x:v>Authentication</x:v>
      </x:c>
      <x:c r="C47" s="135" t="str">
        <x:v>Forgot password</x:v>
      </x:c>
      <x:c r="D47" s="136" t="str">
        <x:v>Start account recovery using the approved secure channel</x:v>
      </x:c>
      <x:c r="E47" s="136" t="str">
        <x:v>Signed V1</x:v>
      </x:c>
      <x:c r="F47" s="136" t="str">
        <x:v>Completed</x:v>
      </x:c>
      <x:c r="G47" s="137" t="n">
        <x:v>1</x:v>
      </x:c>
      <x:c r="H47" s="136" t="str">
        <x:v>Critical</x:v>
      </x:c>
      <x:c r="I47" s="136" t="str">
        <x:v>Stage 2</x:v>
      </x:c>
      <x:c r="J47" s="136" t="str">
        <x:v>Unassigned</x:v>
      </x:c>
      <x:c r="K47" s="136" t="str">
        <x:v>Email delivery decision</x:v>
      </x:c>
      <x:c r="L47" s="136" t="str">
        <x:v>User can request recovery without revealing whether the account exists.</x:v>
      </x:c>
      <x:c r="M47" s="136" t="str">
        <x:v>Known/unknown account; throttling; expiry</x:v>
      </x:c>
      <x:c r="N47" s="136" t="str">
        <x:v>Desktop/mobile Chromium confirms recovery email link capture in isolated acceptance mode; unknown-account response remains non-enumerating in automated checks.</x:v>
      </x:c>
      <x:c r="O47" s="136" t="str">
        <x:v>Configure production email provider and complete live delivery acceptance; throttling remains in security regression.</x:v>
      </x:c>
    </x:row>
    <x:row r="48">
      <x:c r="A48" s="135" t="str">
        <x:v>JW-044</x:v>
      </x:c>
      <x:c r="B48" s="135" t="str">
        <x:v>Authentication</x:v>
      </x:c>
      <x:c r="C48" s="135" t="str">
        <x:v>Password reset</x:v>
      </x:c>
      <x:c r="D48" s="136" t="str">
        <x:v>Single-use expiring reset token and password update</x:v>
      </x:c>
      <x:c r="E48" s="136" t="str">
        <x:v>Signed V1</x:v>
      </x:c>
      <x:c r="F48" s="136" t="str">
        <x:v>Completed</x:v>
      </x:c>
      <x:c r="G48" s="137" t="n">
        <x:v>1</x:v>
      </x:c>
      <x:c r="H48" s="136" t="str">
        <x:v>Critical</x:v>
      </x:c>
      <x:c r="I48" s="136" t="str">
        <x:v>Stage 2</x:v>
      </x:c>
      <x:c r="J48" s="136" t="str">
        <x:v>Unassigned</x:v>
      </x:c>
      <x:c r="K48" s="136" t="str">
        <x:v>Forgot-password flow</x:v>
      </x:c>
      <x:c r="L48" s="136" t="str">
        <x:v>Valid token resets password, invalid/expired/reused token fails and old sessions are revoked.</x:v>
      </x:c>
      <x:c r="M48" s="136" t="str">
        <x:v>Token lifecycle; password policy; session revocation</x:v>
      </x:c>
      <x:c r="N48" s="136" t="str">
        <x:v>Desktop/mobile Chromium and isolated PostgreSQL confirm a single-use reset link, hashed token, expiry denial, existing-session revocation, old-password denial and new-password sign-in.</x:v>
      </x:c>
      <x:c r="O48" s="136" t="str">
        <x:v>Production email delivery and final live browser acceptance remain open.</x:v>
      </x:c>
    </x:row>
    <x:row r="49">
      <x:c r="A49" s="135" t="str">
        <x:v>JW-045</x:v>
      </x:c>
      <x:c r="B49" s="135" t="str">
        <x:v>Authentication</x:v>
      </x:c>
      <x:c r="C49" s="135" t="str">
        <x:v>Authentication rate limiting</x:v>
      </x:c>
      <x:c r="D49" s="136" t="str">
        <x:v>Throttle registration, login and recovery abuse</x:v>
      </x:c>
      <x:c r="E49" s="136" t="str">
        <x:v>Signed V1</x:v>
      </x:c>
      <x:c r="F49" s="136" t="str">
        <x:v>Partially Implemented</x:v>
      </x:c>
      <x:c r="G49" s="137" t="n">
        <x:v>0.75</x:v>
      </x:c>
      <x:c r="H49" s="136" t="str">
        <x:v>Critical</x:v>
      </x:c>
      <x:c r="I49" s="136" t="str">
        <x:v>Stage 1</x:v>
      </x:c>
      <x:c r="J49" s="136" t="str">
        <x:v>Unassigned</x:v>
      </x:c>
      <x:c r="K49" s="136" t="str">
        <x:v>Rate-limit store</x:v>
      </x:c>
      <x:c r="L49" s="136" t="str">
        <x:v>Limits apply by IP and account identifier without blocking normal users.</x:v>
      </x:c>
      <x:c r="M49" s="136" t="str">
        <x:v>Burst; distributed attempts; reset window; proxy headers</x:v>
      </x:c>
      <x:c r="N49" s="136" t="str">
        <x:v>Abuse controls exist on key flows, but a dedicated authentication rate-limit acceptance suite remains for final hardening.</x:v>
      </x:c>
      <x:c r="O49" s="136" t="str">
        <x:v>Complete during final QA/hardening after functionality development.</x:v>
      </x:c>
    </x:row>
    <x:row r="50">
      <x:c r="A50" s="135" t="str">
        <x:v>JW-046</x:v>
      </x:c>
      <x:c r="B50" s="135" t="str">
        <x:v>Authentication</x:v>
      </x:c>
      <x:c r="C50" s="135" t="str">
        <x:v>CSRF and origin protection</x:v>
      </x:c>
      <x:c r="D50" s="136" t="str">
        <x:v>Verify state-changing browser actions cannot be submitted cross-site</x:v>
      </x:c>
      <x:c r="E50" s="136" t="str">
        <x:v>Signed V1</x:v>
      </x:c>
      <x:c r="F50" s="136" t="str">
        <x:v>Partially Implemented</x:v>
      </x:c>
      <x:c r="G50" s="137" t="n">
        <x:v>0.8</x:v>
      </x:c>
      <x:c r="H50" s="136" t="str">
        <x:v>Critical</x:v>
      </x:c>
      <x:c r="I50" s="136" t="str">
        <x:v>Stage 1</x:v>
      </x:c>
      <x:c r="J50" s="136" t="str">
        <x:v>Unassigned</x:v>
      </x:c>
      <x:c r="K50" s="136" t="str">
        <x:v>Deployment origin config</x:v>
      </x:c>
      <x:c r="L50" s="136" t="str">
        <x:v>All state-changing actions reject cross-origin requests and use appropriate cookie policy.</x:v>
      </x:c>
      <x:c r="M50" s="136" t="str">
        <x:v>Cross-origin forms; origin/host mismatch</x:v>
      </x:c>
      <x:c r="N50" s="136" t="str">
        <x:v>Upload POST now compares Origin with the incoming Host and rejects mismatches. Authenticated desktop/mobile Chromium test confirms foreign-origin 403 while valid uploads still succeed. Next server actions keep their built-in origin/session protections.</x:v>
      </x:c>
      <x:c r="O50" s="136" t="str">
        <x:v>Review remaining state-changing routes and proxy host configuration in staging; complete final cross-origin assessment.</x:v>
      </x:c>
    </x:row>
    <x:row r="51">
      <x:c r="A51" s="135" t="str">
        <x:v>JW-047</x:v>
      </x:c>
      <x:c r="B51" s="135" t="str">
        <x:v>Authentication</x:v>
      </x:c>
      <x:c r="C51" s="135" t="str">
        <x:v>Account ban enforcement</x:v>
      </x:c>
      <x:c r="D51" s="136" t="str">
        <x:v>Blocked users cannot authenticate or retain usable sessions</x:v>
      </x:c>
      <x:c r="E51" s="136" t="str">
        <x:v>Signed V1</x:v>
      </x:c>
      <x:c r="F51" s="136" t="str">
        <x:v>Completed</x:v>
      </x:c>
      <x:c r="G51" s="137" t="n">
        <x:v>1</x:v>
      </x:c>
      <x:c r="H51" s="136" t="str">
        <x:v>High</x:v>
      </x:c>
      <x:c r="I51" s="136" t="str">
        <x:v>Stage 4</x:v>
      </x:c>
      <x:c r="J51" s="136" t="str">
        <x:v>Unassigned</x:v>
      </x:c>
      <x:c r="K51" s="136" t="str">
        <x:v>Admin ban control</x:v>
      </x:c>
      <x:c r="L51" s="136" t="str">
        <x:v>Banned users cannot login; existing sessions stop resolving.</x:v>
      </x:c>
      <x:c r="M51" s="136" t="str">
        <x:v>Login and active-session ban cases</x:v>
      </x:c>
      <x:c r="N51" s="136" t="str">
        <x:v>Banned login is denied; desktop/mobile browser tests confirm admin ban revokes active sessions, unban appends an audit record and restored user can sign in. Admin ban/unban UI is implemented.</x:v>
      </x:c>
      <x:c r="O51" s="136" t="str">
        <x:v>Retain provider-independent browser regression; final live acceptance remains open.</x:v>
      </x:c>
    </x:row>
    <x:row r="52">
      <x:c r="A52" s="135" t="str">
        <x:v>JW-048</x:v>
      </x:c>
      <x:c r="B52" s="135" t="str">
        <x:v>Authentication</x:v>
      </x:c>
      <x:c r="C52" s="135" t="str">
        <x:v>Admin authorization</x:v>
      </x:c>
      <x:c r="D52" s="136" t="str">
        <x:v>Protect moderation routes using is_admin</x:v>
      </x:c>
      <x:c r="E52" s="136" t="str">
        <x:v>Signed V1</x:v>
      </x:c>
      <x:c r="F52" s="136" t="str">
        <x:v>Completed</x:v>
      </x:c>
      <x:c r="G52" s="137" t="n">
        <x:v>1</x:v>
      </x:c>
      <x:c r="H52" s="136" t="str">
        <x:v>Critical</x:v>
      </x:c>
      <x:c r="I52" s="136" t="str">
        <x:v>Stage 4</x:v>
      </x:c>
      <x:c r="J52" s="136" t="str">
        <x:v>Unassigned</x:v>
      </x:c>
      <x:c r="K52" s="136" t="str">
        <x:v>Admin account</x:v>
      </x:c>
      <x:c r="L52" s="136" t="str">
        <x:v>Non-admin users cannot access or invoke moderation actions.</x:v>
      </x:c>
      <x:c r="M52" s="136" t="str">
        <x:v>Anonymous; normal user; admin; direct action call</x:v>
      </x:c>
      <x:c r="N52" s="136" t="str">
        <x:v>Route and action both enforce admin access.</x:v>
      </x:c>
      <x:c r="O52" s="136" t="str">
        <x:v>Add authorization integration tests.</x:v>
      </x:c>
    </x:row>
    <x:row r="53">
      <x:c r="A53" s="135" t="str">
        <x:v>JW-049</x:v>
      </x:c>
      <x:c r="B53" s="135" t="str">
        <x:v>Authentication</x:v>
      </x:c>
      <x:c r="C53" s="135" t="str">
        <x:v>Production administrator bootstrap</x:v>
      </x:c>
      <x:c r="D53" s="136" t="str">
        <x:v>Securely create the first admin without public seed credentials</x:v>
      </x:c>
      <x:c r="E53" s="136" t="str">
        <x:v>Signed V1</x:v>
      </x:c>
      <x:c r="F53" s="136" t="str">
        <x:v>Launch Configuration Pending</x:v>
      </x:c>
      <x:c r="G53" s="137" t="n">
        <x:v>0.7</x:v>
      </x:c>
      <x:c r="H53" s="136" t="str">
        <x:v>Critical</x:v>
      </x:c>
      <x:c r="I53" s="136" t="str">
        <x:v>Stage 6</x:v>
      </x:c>
      <x:c r="J53" s="136" t="str">
        <x:v>Unassigned</x:v>
      </x:c>
      <x:c r="K53" s="136" t="str">
        <x:v>Production DB access</x:v>
      </x:c>
      <x:c r="L53" s="136" t="str">
        <x:v>Named administrator is created through a documented auditable process and no default password is committed.</x:v>
      </x:c>
      <x:c r="M53" s="136" t="str">
        <x:v>Access test; audit review</x:v>
      </x:c>
      <x:c r="N53" s="136" t="str">
        <x:v>Local admin was set manually; production admin not created.</x:v>
      </x:c>
      <x:c r="O53" s="136" t="str">
        <x:v>Create production runbook and initial admin at deployment.</x:v>
      </x:c>
    </x:row>
    <x:row r="54">
      <x:c r="A54" s="135" t="str">
        <x:v>JW-050</x:v>
      </x:c>
      <x:c r="B54" s="135" t="str">
        <x:v>User Profiles</x:v>
      </x:c>
      <x:c r="C54" s="135" t="str">
        <x:v>Account details display</x:v>
      </x:c>
      <x:c r="D54" s="136" t="str">
        <x:v>Show signed-in identity in account navigation</x:v>
      </x:c>
      <x:c r="E54" s="136" t="str">
        <x:v>Signed V1</x:v>
      </x:c>
      <x:c r="F54" s="136" t="str">
        <x:v>Completed</x:v>
      </x:c>
      <x:c r="G54" s="137" t="n">
        <x:v>1</x:v>
      </x:c>
      <x:c r="H54" s="136" t="str">
        <x:v>Medium</x:v>
      </x:c>
      <x:c r="I54" s="136" t="str">
        <x:v>Stage 2</x:v>
      </x:c>
      <x:c r="J54" s="136" t="str">
        <x:v>Unassigned</x:v>
      </x:c>
      <x:c r="K54" s="136" t="str">
        <x:v>Authentication</x:v>
      </x:c>
      <x:c r="L54" s="136" t="str">
        <x:v>Signed-in name/phone appears without exposing credentials.</x:v>
      </x:c>
      <x:c r="M54" s="136" t="str">
        <x:v>Signed-in/out display; mobile</x:v>
      </x:c>
      <x:c r="N54" s="136" t="str">
        <x:v>AccountMenu is implemented.</x:v>
      </x:c>
      <x:c r="O54" s="136" t="str">
        <x:v>Retest with profile edits later.</x:v>
      </x:c>
    </x:row>
    <x:row r="55">
      <x:c r="A55" s="135" t="str">
        <x:v>JW-051</x:v>
      </x:c>
      <x:c r="B55" s="135" t="str">
        <x:v>User Profiles</x:v>
      </x:c>
      <x:c r="C55" s="135" t="str">
        <x:v>Profile editing</x:v>
      </x:c>
      <x:c r="D55" s="136" t="str">
        <x:v>Edit name, email, phone/contact details and avatar where approved</x:v>
      </x:c>
      <x:c r="E55" s="136" t="str">
        <x:v>Signed V1</x:v>
      </x:c>
      <x:c r="F55" s="136" t="str">
        <x:v>Completed</x:v>
      </x:c>
      <x:c r="G55" s="137" t="n">
        <x:v>1</x:v>
      </x:c>
      <x:c r="H55" s="136" t="str">
        <x:v>High</x:v>
      </x:c>
      <x:c r="I55" s="136" t="str">
        <x:v>Stage 2</x:v>
      </x:c>
      <x:c r="J55" s="136" t="str">
        <x:v>Unassigned</x:v>
      </x:c>
      <x:c r="K55" s="136" t="str">
        <x:v>Profile route and validation</x:v>
      </x:c>
      <x:c r="L55" s="136" t="str">
        <x:v>Owner can update fields; uniqueness and validation are enforced.</x:v>
      </x:c>
      <x:c r="M55" s="136" t="str">
        <x:v>Valid/invalid; duplicates; authorization; image</x:v>
      </x:c>
      <x:c r="N55" s="136" t="str">
        <x:v>Account profile editing and seller-facing profile behavior are implemented in current code.</x:v>
      </x:c>
      <x:c r="O55" s="136" t="str">
        <x:v>Retain in final regression and comprehensive browser QA.</x:v>
      </x:c>
    </x:row>
    <x:row r="56">
      <x:c r="A56" s="135" t="str">
        <x:v>JW-052</x:v>
      </x:c>
      <x:c r="B56" s="135" t="str">
        <x:v>User Profiles</x:v>
      </x:c>
      <x:c r="C56" s="135" t="str">
        <x:v>Seller public profile</x:v>
      </x:c>
      <x:c r="D56" s="136" t="str">
        <x:v>Public seller identity and active listing view</x:v>
      </x:c>
      <x:c r="E56" s="136" t="str">
        <x:v>Signed V1</x:v>
      </x:c>
      <x:c r="F56" s="136" t="str">
        <x:v>Completed</x:v>
      </x:c>
      <x:c r="G56" s="137" t="n">
        <x:v>1</x:v>
      </x:c>
      <x:c r="H56" s="136" t="str">
        <x:v>Medium</x:v>
      </x:c>
      <x:c r="I56" s="136" t="str">
        <x:v>Stage 2</x:v>
      </x:c>
      <x:c r="J56" s="136" t="str">
        <x:v>Unassigned</x:v>
      </x:c>
      <x:c r="K56" s="136" t="str">
        <x:v>Profile data and privacy decision</x:v>
      </x:c>
      <x:c r="L56" s="136" t="str">
        <x:v>Public page exposes only approved contact/profile data and live listings.</x:v>
      </x:c>
      <x:c r="M56" s="136" t="str">
        <x:v>Privacy; inactive listing exclusion; pagination</x:v>
      </x:c>
      <x:c r="N56" s="136" t="str">
        <x:v>Account profile editing and seller-facing profile behavior are implemented in current code.</x:v>
      </x:c>
      <x:c r="O56" s="136" t="str">
        <x:v>Retain in final regression and comprehensive browser QA.</x:v>
      </x:c>
    </x:row>
    <x:row r="57">
      <x:c r="A57" s="135" t="str">
        <x:v>JW-053</x:v>
      </x:c>
      <x:c r="B57" s="135" t="str">
        <x:v>User Profiles</x:v>
      </x:c>
      <x:c r="C57" s="135" t="str">
        <x:v>Manual seller verification</x:v>
      </x:c>
      <x:c r="D57" s="136" t="str">
        <x:v>Admin-controlled verified seller status and badge</x:v>
      </x:c>
      <x:c r="E57" s="136" t="str">
        <x:v>Signed V1</x:v>
      </x:c>
      <x:c r="F57" s="136" t="str">
        <x:v>Pending</x:v>
      </x:c>
      <x:c r="G57" s="137" t="n">
        <x:v>0</x:v>
      </x:c>
      <x:c r="H57" s="136" t="str">
        <x:v>High</x:v>
      </x:c>
      <x:c r="I57" s="136" t="str">
        <x:v>Stage 4</x:v>
      </x:c>
      <x:c r="J57" s="136" t="str">
        <x:v>Unassigned</x:v>
      </x:c>
      <x:c r="K57" s="136" t="str">
        <x:v>Verification fields and admin UI</x:v>
      </x:c>
      <x:c r="L57" s="136" t="str">
        <x:v>Only authorized admins grant/revoke verification and actions are logged.</x:v>
      </x:c>
      <x:c r="M57" s="136" t="str">
        <x:v>Grant/revoke; badge accuracy; audit log</x:v>
      </x:c>
      <x:c r="N57" s="136" t="str">
        <x:v>Phone verification timestamp exists but no seller verification workflow/UI.</x:v>
      </x:c>
      <x:c r="O57" s="136" t="str">
        <x:v>Clarify badge field and implement admin controls.</x:v>
      </x:c>
    </x:row>
    <x:row r="58">
      <x:c r="A58" s="135" t="str">
        <x:v>JW-054</x:v>
      </x:c>
      <x:c r="B58" s="135" t="str">
        <x:v>User Profiles</x:v>
      </x:c>
      <x:c r="C58" s="135" t="str">
        <x:v>Avatar upload</x:v>
      </x:c>
      <x:c r="D58" s="136" t="str">
        <x:v>Secure owner-controlled profile image</x:v>
      </x:c>
      <x:c r="E58" s="136" t="str">
        <x:v>Signed V1</x:v>
      </x:c>
      <x:c r="F58" s="136" t="str">
        <x:v>Pending</x:v>
      </x:c>
      <x:c r="G58" s="137" t="n">
        <x:v>0</x:v>
      </x:c>
      <x:c r="H58" s="136" t="str">
        <x:v>Low</x:v>
      </x:c>
      <x:c r="I58" s="136" t="str">
        <x:v>Stage 2</x:v>
      </x:c>
      <x:c r="J58" s="136" t="str">
        <x:v>Unassigned</x:v>
      </x:c>
      <x:c r="K58" s="136" t="str">
        <x:v>Profile editing and media ownership</x:v>
      </x:c>
      <x:c r="L58" s="136" t="str">
        <x:v>Accepted formats are validated and old assets handled safely.</x:v>
      </x:c>
      <x:c r="M58" s="136" t="str">
        <x:v>Upload types/size; authorization; replacement</x:v>
      </x:c>
      <x:c r="N58" s="136" t="str">
        <x:v>avatarUrl column exists only.</x:v>
      </x:c>
      <x:c r="O58" s="136" t="str">
        <x:v>Implement with profile editing if retained in V1 UI.</x:v>
      </x:c>
    </x:row>
    <x:row r="59">
      <x:c r="A59" s="135" t="str">
        <x:v>JW-055</x:v>
      </x:c>
      <x:c r="B59" s="135" t="str">
        <x:v>Listing Creation</x:v>
      </x:c>
      <x:c r="C59" s="135" t="str">
        <x:v>Shared listing model</x:v>
      </x:c>
      <x:c r="D59" s="136" t="str">
        <x:v>Cars, bikes and auto parts share core seller, price, city, status and media fields</x:v>
      </x:c>
      <x:c r="E59" s="136" t="str">
        <x:v>Signed V1</x:v>
      </x:c>
      <x:c r="F59" s="136" t="str">
        <x:v>Completed</x:v>
      </x:c>
      <x:c r="G59" s="137" t="n">
        <x:v>1</x:v>
      </x:c>
      <x:c r="H59" s="136" t="str">
        <x:v>Critical</x:v>
      </x:c>
      <x:c r="I59" s="136" t="str">
        <x:v>Stage 2</x:v>
      </x:c>
      <x:c r="J59" s="136" t="str">
        <x:v>Unassigned</x:v>
      </x:c>
      <x:c r="K59" s="136" t="str">
        <x:v>Database</x:v>
      </x:c>
      <x:c r="L59" s="136" t="str">
        <x:v>All verticals can be represented without inconsistent duplicate common fields.</x:v>
      </x:c>
      <x:c r="M59" s="136" t="str">
        <x:v>Schema migration; relational integrity</x:v>
      </x:c>
      <x:c r="N59" s="136" t="str">
        <x:v>Shared listings table and vertical detail tables exist.</x:v>
      </x:c>
      <x:c r="O59" s="136" t="str">
        <x:v>Use same publishing service pattern for bikes and parts.</x:v>
      </x:c>
    </x:row>
    <x:row r="60">
      <x:c r="A60" s="135" t="str">
        <x:v>JW-056</x:v>
      </x:c>
      <x:c r="B60" s="135" t="str">
        <x:v>Listing Creation</x:v>
      </x:c>
      <x:c r="C60" s="135" t="str">
        <x:v>Car listing form</x:v>
      </x:c>
      <x:c r="D60" s="136" t="str">
        <x:v>Make/model/variant, year, mileage, location, price, condition details, features, description and photos</x:v>
      </x:c>
      <x:c r="E60" s="136" t="str">
        <x:v>Signed V1</x:v>
      </x:c>
      <x:c r="F60" s="136" t="str">
        <x:v>Completed</x:v>
      </x:c>
      <x:c r="G60" s="137" t="n">
        <x:v>1</x:v>
      </x:c>
      <x:c r="H60" s="136" t="str">
        <x:v>Critical</x:v>
      </x:c>
      <x:c r="I60" s="136" t="str">
        <x:v>Stage 2</x:v>
      </x:c>
      <x:c r="J60" s="136" t="str">
        <x:v>Unassigned</x:v>
      </x:c>
      <x:c r="K60" s="136" t="str">
        <x:v>Taxonomy and uploads</x:v>
      </x:c>
      <x:c r="L60" s="136" t="str">
        <x:v>Authenticated seller can submit a valid car with required data and one or more images.</x:v>
      </x:c>
      <x:c r="M60" s="136" t="str">
        <x:v>Happy path; all field validations; upload failures; mobile</x:v>
      </x:c>
      <x:c r="N60" s="136" t="str">
        <x:v>Car SellForm and action exist.</x:v>
      </x:c>
      <x:c r="O60" s="136" t="str">
        <x:v>Deep-test and correct publication behavior.</x:v>
      </x:c>
    </x:row>
    <x:row r="61">
      <x:c r="A61" s="135" t="str">
        <x:v>JW-057</x:v>
      </x:c>
      <x:c r="B61" s="135" t="str">
        <x:v>Listing Creation</x:v>
      </x:c>
      <x:c r="C61" s="135" t="str">
        <x:v>Car taxonomy cascade</x:v>
      </x:c>
      <x:c r="D61" s="136" t="str">
        <x:v>Make to model to variant and city to area selectors</x:v>
      </x:c>
      <x:c r="E61" s="136" t="str">
        <x:v>Signed V1</x:v>
      </x:c>
      <x:c r="F61" s="136" t="str">
        <x:v>Completed</x:v>
      </x:c>
      <x:c r="G61" s="137" t="n">
        <x:v>1</x:v>
      </x:c>
      <x:c r="H61" s="136" t="str">
        <x:v>High</x:v>
      </x:c>
      <x:c r="I61" s="136" t="str">
        <x:v>Stage 2</x:v>
      </x:c>
      <x:c r="J61" s="136" t="str">
        <x:v>Unassigned</x:v>
      </x:c>
      <x:c r="K61" s="136" t="str">
        <x:v>Taxonomy API</x:v>
      </x:c>
      <x:c r="L61" s="136" t="str">
        <x:v>Dependent selectors show only active valid children and reset stale choices.</x:v>
      </x:c>
      <x:c r="M61" s="136" t="str">
        <x:v>Cascade; empty states; invalid IDs; cache</x:v>
      </x:c>
      <x:c r="N61" s="136" t="str">
        <x:v>Implemented through /api/taxonomy.</x:v>
      </x:c>
      <x:c r="O61" s="136" t="str">
        <x:v>Add integration/E2E tests.</x:v>
      </x:c>
    </x:row>
    <x:row r="62">
      <x:c r="A62" s="135" t="str">
        <x:v>JW-058</x:v>
      </x:c>
      <x:c r="B62" s="135" t="str">
        <x:v>Listing Creation</x:v>
      </x:c>
      <x:c r="C62" s="135" t="str">
        <x:v>Car server validation</x:v>
      </x:c>
      <x:c r="D62" s="136" t="str">
        <x:v>Validate ranges and curated variant IDs with user-facing messages</x:v>
      </x:c>
      <x:c r="E62" s="136" t="str">
        <x:v>Signed V1</x:v>
      </x:c>
      <x:c r="F62" s="136" t="str">
        <x:v>Completed</x:v>
      </x:c>
      <x:c r="G62" s="137" t="n">
        <x:v>1</x:v>
      </x:c>
      <x:c r="H62" s="136" t="str">
        <x:v>Critical</x:v>
      </x:c>
      <x:c r="I62" s="136" t="str">
        <x:v>Stage 2</x:v>
      </x:c>
      <x:c r="J62" s="136" t="str">
        <x:v>Unassigned</x:v>
      </x:c>
      <x:c r="K62" s="136" t="str">
        <x:v>Car form</x:v>
      </x:c>
      <x:c r="L62" s="136" t="str">
        <x:v>Server rejects manipulated/out-of-range input and displays field-specific messages.</x:v>
      </x:c>
      <x:c r="M62" s="136" t="str">
        <x:v>Boundary and tampered form tests</x:v>
      </x:c>
      <x:c r="N62" s="136" t="str">
        <x:v>Zod carListingSchema exists.</x:v>
      </x:c>
      <x:c r="O62" s="136" t="str">
        <x:v>Add test suite and reconcile exact proposal fields.</x:v>
      </x:c>
    </x:row>
    <x:row r="63">
      <x:c r="A63" s="135" t="str">
        <x:v>JW-059</x:v>
      </x:c>
      <x:c r="B63" s="135" t="str">
        <x:v>Listing Creation</x:v>
      </x:c>
      <x:c r="C63" s="135" t="str">
        <x:v>Car registration details</x:v>
      </x:c>
      <x:c r="D63" s="136" t="str">
        <x:v>Registration city, unregistered state, color, ownership and token fields</x:v>
      </x:c>
      <x:c r="E63" s="136" t="str">
        <x:v>Signed V1</x:v>
      </x:c>
      <x:c r="F63" s="136" t="str">
        <x:v>Completed</x:v>
      </x:c>
      <x:c r="G63" s="137" t="n">
        <x:v>1</x:v>
      </x:c>
      <x:c r="H63" s="136" t="str">
        <x:v>Medium</x:v>
      </x:c>
      <x:c r="I63" s="136" t="str">
        <x:v>Stage 2</x:v>
      </x:c>
      <x:c r="J63" s="136" t="str">
        <x:v>Unassigned</x:v>
      </x:c>
      <x:c r="K63" s="136" t="str">
        <x:v>Car form/schema</x:v>
      </x:c>
      <x:c r="L63" s="136" t="str">
        <x:v>Every agreed car field is captured consistently and conditional fields behave correctly.</x:v>
      </x:c>
      <x:c r="M63" s="136" t="str">
        <x:v>Registered/unregistered; auction sheet; token year</x:v>
      </x:c>
      <x:c r="N63" s="136" t="str">
        <x:v>Car create/edit forms expose registered city, last token paid year and auction grade conditionally. Server rejects conflicting unregistered/auction values. Desktop and mobile browser publication confirmed these fields in isolated PostgreSQL.</x:v>
      </x:c>
      <x:c r="O63" s="136" t="str">
        <x:v>Final owner review can be included in launch acceptance; no further implementation dependency.</x:v>
      </x:c>
    </x:row>
    <x:row r="64">
      <x:c r="A64" s="135" t="str">
        <x:v>JW-060</x:v>
      </x:c>
      <x:c r="B64" s="135" t="str">
        <x:v>Listing Creation</x:v>
      </x:c>
      <x:c r="C64" s="135" t="str">
        <x:v>Bike listing form</x:v>
      </x:c>
      <x:c r="D64" s="136" t="str">
        <x:v>Make/model/year, engine, mileage, city, condition, description and photos</x:v>
      </x:c>
      <x:c r="E64" s="136" t="str">
        <x:v>Signed V1</x:v>
      </x:c>
      <x:c r="F64" s="136" t="str">
        <x:v>Completed</x:v>
      </x:c>
      <x:c r="G64" s="137" t="n">
        <x:v>1</x:v>
      </x:c>
      <x:c r="H64" s="136" t="str">
        <x:v>Critical</x:v>
      </x:c>
      <x:c r="I64" s="136" t="str">
        <x:v>Stage 2</x:v>
      </x:c>
      <x:c r="J64" s="136" t="str">
        <x:v>Unassigned</x:v>
      </x:c>
      <x:c r="K64" s="136" t="str">
        <x:v>Bike publishing/validation</x:v>
      </x:c>
      <x:c r="L64" s="136" t="str">
        <x:v>Authenticated seller can create a bike listing with all signed-scope fields.</x:v>
      </x:c>
      <x:c r="M64" s="136" t="str">
        <x:v>Happy path; validation; ownership; images; mobile</x:v>
      </x:c>
      <x:c r="N64" s="136" t="str">
        <x:v>Cars, bikes and parts publishing flows are implemented with instant publication, seller limits and synchronized facets.</x:v>
      </x:c>
      <x:c r="O64" s="136" t="str">
        <x:v>Retain in final regression and comprehensive browser QA.</x:v>
      </x:c>
    </x:row>
    <x:row r="65">
      <x:c r="A65" s="135" t="str">
        <x:v>JW-061</x:v>
      </x:c>
      <x:c r="B65" s="135" t="str">
        <x:v>Listing Creation</x:v>
      </x:c>
      <x:c r="C65" s="135" t="str">
        <x:v>Auto-parts listing form</x:v>
      </x:c>
      <x:c r="D65" s="136" t="str">
        <x:v>Title, category, compatibility, condition, price, location, description, photos and seller data</x:v>
      </x:c>
      <x:c r="E65" s="136" t="str">
        <x:v>Signed V1</x:v>
      </x:c>
      <x:c r="F65" s="136" t="str">
        <x:v>Completed</x:v>
      </x:c>
      <x:c r="G65" s="137" t="n">
        <x:v>1</x:v>
      </x:c>
      <x:c r="H65" s="136" t="str">
        <x:v>Critical</x:v>
      </x:c>
      <x:c r="I65" s="136" t="str">
        <x:v>Stage 2</x:v>
      </x:c>
      <x:c r="J65" s="136" t="str">
        <x:v>Unassigned</x:v>
      </x:c>
      <x:c r="K65" s="136" t="str">
        <x:v>Parts publishing/validation</x:v>
      </x:c>
      <x:c r="L65" s="136" t="str">
        <x:v>Authenticated seller can create a parts classified ad without cart/checkout concepts.</x:v>
      </x:c>
      <x:c r="M65" s="136" t="str">
        <x:v>Category/compatibility; validation; images; mobile</x:v>
      </x:c>
      <x:c r="N65" s="136" t="str">
        <x:v>Cars, bikes and parts publishing flows are implemented with instant publication, seller limits and synchronized facets.</x:v>
      </x:c>
      <x:c r="O65" s="136" t="str">
        <x:v>Retain in final regression and comprehensive browser QA.</x:v>
      </x:c>
    </x:row>
    <x:row r="66">
      <x:c r="A66" s="135" t="str">
        <x:v>JW-062</x:v>
      </x:c>
      <x:c r="B66" s="135" t="str">
        <x:v>Listing Creation</x:v>
      </x:c>
      <x:c r="C66" s="135" t="str">
        <x:v>Instant publication after validation</x:v>
      </x:c>
      <x:c r="D66" s="136" t="str">
        <x:v>Ordinary valid listings become Live without routine pre-approval</x:v>
      </x:c>
      <x:c r="E66" s="136" t="str">
        <x:v>Signed V1</x:v>
      </x:c>
      <x:c r="F66" s="136" t="str">
        <x:v>Completed</x:v>
      </x:c>
      <x:c r="G66" s="137" t="n">
        <x:v>1</x:v>
      </x:c>
      <x:c r="H66" s="136" t="str">
        <x:v>Critical</x:v>
      </x:c>
      <x:c r="I66" s="136" t="str">
        <x:v>Stage 1</x:v>
      </x:c>
      <x:c r="J66" s="136" t="str">
        <x:v>Unassigned</x:v>
      </x:c>
      <x:c r="K66" s="136" t="str">
        <x:v>Publishing service</x:v>
      </x:c>
      <x:c r="L66" s="136" t="str">
        <x:v>Valid seller/dealer listing is active immediately; reporting and post-publication moderation remain available.</x:v>
      </x:c>
      <x:c r="M66" s="136" t="str">
        <x:v>Individual; unverified dealer; verified dealer; invalid data</x:v>
      </x:c>
      <x:c r="N66" s="136" t="str">
        <x:v>Cars, bikes and parts publishing flows are implemented with instant publication, seller limits and synchronized facets.</x:v>
      </x:c>
      <x:c r="O66" s="136" t="str">
        <x:v>Retain in final regression and comprehensive browser QA.</x:v>
      </x:c>
    </x:row>
    <x:row r="67">
      <x:c r="A67" s="135" t="str">
        <x:v>JW-063</x:v>
      </x:c>
      <x:c r="B67" s="135" t="str">
        <x:v>Listing Creation</x:v>
      </x:c>
      <x:c r="C67" s="135" t="str">
        <x:v>Dealer linkage</x:v>
      </x:c>
      <x:c r="D67" s="136" t="str">
        <x:v>Associate a dealer user's listing with the dealer profile</x:v>
      </x:c>
      <x:c r="E67" s="136" t="str">
        <x:v>Signed V1</x:v>
      </x:c>
      <x:c r="F67" s="136" t="str">
        <x:v>Completed</x:v>
      </x:c>
      <x:c r="G67" s="137" t="n">
        <x:v>1</x:v>
      </x:c>
      <x:c r="H67" s="136" t="str">
        <x:v>High</x:v>
      </x:c>
      <x:c r="I67" s="136" t="str">
        <x:v>Stage 2</x:v>
      </x:c>
      <x:c r="J67" s="136" t="str">
        <x:v>Unassigned</x:v>
      </x:c>
      <x:c r="K67" s="136" t="str">
        <x:v>Dealer registration</x:v>
      </x:c>
      <x:c r="L67" s="136" t="str">
        <x:v>Dealer-created ads carry the correct dealerId and storefront relation.</x:v>
      </x:c>
      <x:c r="M67" s="136" t="str">
        <x:v>Dealer vs individual creation; spoofed dealer ID</x:v>
      </x:c>
      <x:c r="N67" s="136" t="str">
        <x:v>Server resolves dealer by authenticated user.</x:v>
      </x:c>
      <x:c r="O67" s="136" t="str">
        <x:v>Retest for bike/parts creation.</x:v>
      </x:c>
    </x:row>
    <x:row r="68">
      <x:c r="A68" s="135" t="str">
        <x:v>JW-064</x:v>
      </x:c>
      <x:c r="B68" s="135" t="str">
        <x:v>Listing Creation</x:v>
      </x:c>
      <x:c r="C68" s="135" t="str">
        <x:v>Private seller active-ad limit</x:v>
      </x:c>
      <x:c r="D68" s="136" t="str">
        <x:v>Maximum three active/pending ads for non-dealers</x:v>
      </x:c>
      <x:c r="E68" s="136" t="str">
        <x:v>Signed V1</x:v>
      </x:c>
      <x:c r="F68" s="136" t="str">
        <x:v>Completed</x:v>
      </x:c>
      <x:c r="G68" s="137" t="n">
        <x:v>1</x:v>
      </x:c>
      <x:c r="H68" s="136" t="str">
        <x:v>Medium</x:v>
      </x:c>
      <x:c r="I68" s="136" t="str">
        <x:v>Stage 2</x:v>
      </x:c>
      <x:c r="J68" s="136" t="str">
        <x:v>Unassigned</x:v>
      </x:c>
      <x:c r="K68" s="136" t="str">
        <x:v>Publishing status correction</x:v>
      </x:c>
      <x:c r="L68" s="136" t="str">
        <x:v>Limit counts only applicable live states and cannot be bypassed concurrently.</x:v>
      </x:c>
      <x:c r="M68" s="136" t="str">
        <x:v>Boundary 2/3/4; concurrent submits; sold/expired</x:v>
      </x:c>
      <x:c r="N68" s="136" t="str">
        <x:v>Cars, bikes and parts publishing flows are implemented with instant publication, seller limits and synchronized facets.</x:v>
      </x:c>
      <x:c r="O68" s="136" t="str">
        <x:v>Retain in final regression and comprehensive browser QA.</x:v>
      </x:c>
    </x:row>
    <x:row r="69">
      <x:c r="A69" s="135" t="str">
        <x:v>JW-065</x:v>
      </x:c>
      <x:c r="B69" s="135" t="str">
        <x:v>Listing Creation</x:v>
      </x:c>
      <x:c r="C69" s="135" t="str">
        <x:v>Description sanitization</x:v>
      </x:c>
      <x:c r="D69" s="136" t="str">
        <x:v>Strip phone numbers, emails and URLs from listing descriptions</x:v>
      </x:c>
      <x:c r="E69" s="136" t="str">
        <x:v>Signed V1</x:v>
      </x:c>
      <x:c r="F69" s="136" t="str">
        <x:v>Completed</x:v>
      </x:c>
      <x:c r="G69" s="137" t="n">
        <x:v>1</x:v>
      </x:c>
      <x:c r="H69" s="136" t="str">
        <x:v>High</x:v>
      </x:c>
      <x:c r="I69" s="136" t="str">
        <x:v>Stage 2</x:v>
      </x:c>
      <x:c r="J69" s="136" t="str">
        <x:v>Unassigned</x:v>
      </x:c>
      <x:c r="K69" s="136" t="str">
        <x:v>Validation</x:v>
      </x:c>
      <x:c r="L69" s="136" t="str">
        <x:v>Common contact patterns are removed without destroying normal text.</x:v>
      </x:c>
      <x:c r="M69" s="136" t="str">
        <x:v>Phone/email/URL variants; false positives; Unicode</x:v>
      </x:c>
      <x:c r="N69" s="136" t="str">
        <x:v>sanitizeDescription is used for cars.</x:v>
      </x:c>
      <x:c r="O69" s="136" t="str">
        <x:v>Apply uniformly to bikes, parts and edits; expand tests.</x:v>
      </x:c>
    </x:row>
    <x:row r="70">
      <x:c r="A70" s="135" t="str">
        <x:v>JW-066</x:v>
      </x:c>
      <x:c r="B70" s="135" t="str">
        <x:v>Listing Creation</x:v>
      </x:c>
      <x:c r="C70" s="135" t="str">
        <x:v>Transactional publishing</x:v>
      </x:c>
      <x:c r="D70" s="136" t="str">
        <x:v>Insert listing, vertical details, images and features atomically</x:v>
      </x:c>
      <x:c r="E70" s="136" t="str">
        <x:v>Signed V1</x:v>
      </x:c>
      <x:c r="F70" s="136" t="str">
        <x:v>Completed</x:v>
      </x:c>
      <x:c r="G70" s="137" t="n">
        <x:v>1</x:v>
      </x:c>
      <x:c r="H70" s="136" t="str">
        <x:v>Critical</x:v>
      </x:c>
      <x:c r="I70" s="136" t="str">
        <x:v>Stage 2</x:v>
      </x:c>
      <x:c r="J70" s="136" t="str">
        <x:v>Unassigned</x:v>
      </x:c>
      <x:c r="K70" s="136" t="str">
        <x:v>Database transactions</x:v>
      </x:c>
      <x:c r="L70" s="136" t="str">
        <x:v>Any failure rolls back the entire listing.</x:v>
      </x:c>
      <x:c r="M70" s="136" t="str">
        <x:v>Injected failure at each insert; rollback verification</x:v>
      </x:c>
      <x:c r="N70" s="136" t="str">
        <x:v>Car publish uses one transaction.</x:v>
      </x:c>
      <x:c r="O70" s="136" t="str">
        <x:v>Reuse for bike and parts publishing.</x:v>
      </x:c>
    </x:row>
    <x:row r="71">
      <x:c r="A71" s="135" t="str">
        <x:v>JW-067</x:v>
      </x:c>
      <x:c r="B71" s="135" t="str">
        <x:v>Listing Creation</x:v>
      </x:c>
      <x:c r="C71" s="135" t="str">
        <x:v>Denormalized facet synchronization</x:v>
      </x:c>
      <x:c r="D71" s="136" t="str">
        <x:v>Keep make/model/variant-derived search columns consistent</x:v>
      </x:c>
      <x:c r="E71" s="136" t="str">
        <x:v>Signed V1</x:v>
      </x:c>
      <x:c r="F71" s="136" t="str">
        <x:v>Completed</x:v>
      </x:c>
      <x:c r="G71" s="137" t="n">
        <x:v>1</x:v>
      </x:c>
      <x:c r="H71" s="136" t="str">
        <x:v>Critical</x:v>
      </x:c>
      <x:c r="I71" s="136" t="str">
        <x:v>Stage 2</x:v>
      </x:c>
      <x:c r="J71" s="136" t="str">
        <x:v>Unassigned</x:v>
      </x:c>
      <x:c r="K71" s="136" t="str">
        <x:v>Edit workflow</x:v>
      </x:c>
      <x:c r="L71" s="136" t="str">
        <x:v>Create and edit paths derive facets only from curated taxonomy and never drift.</x:v>
      </x:c>
      <x:c r="M71" s="136" t="str">
        <x:v>Create; variant edit; invalid taxonomy; resync</x:v>
      </x:c>
      <x:c r="N71" s="136" t="str">
        <x:v>Cars, bikes and parts publishing flows are implemented with instant publication, seller limits and synchronized facets.</x:v>
      </x:c>
      <x:c r="O71" s="136" t="str">
        <x:v>Retain in final regression and comprehensive browser QA.</x:v>
      </x:c>
    </x:row>
    <x:row r="72">
      <x:c r="A72" s="135" t="str">
        <x:v>JW-068</x:v>
      </x:c>
      <x:c r="B72" s="135" t="str">
        <x:v>Listing Management</x:v>
      </x:c>
      <x:c r="C72" s="135" t="str">
        <x:v>Seller dashboard</x:v>
      </x:c>
      <x:c r="D72" s="136" t="str">
        <x:v>List seller ads with status, price, city, views and phone reveals</x:v>
      </x:c>
      <x:c r="E72" s="136" t="str">
        <x:v>Signed V1</x:v>
      </x:c>
      <x:c r="F72" s="136" t="str">
        <x:v>Completed</x:v>
      </x:c>
      <x:c r="G72" s="137" t="n">
        <x:v>1</x:v>
      </x:c>
      <x:c r="H72" s="136" t="str">
        <x:v>High</x:v>
      </x:c>
      <x:c r="I72" s="136" t="str">
        <x:v>Stage 2</x:v>
      </x:c>
      <x:c r="J72" s="136" t="str">
        <x:v>Unassigned</x:v>
      </x:c>
      <x:c r="K72" s="136" t="str">
        <x:v>Authentication and listings</x:v>
      </x:c>
      <x:c r="L72" s="136" t="str">
        <x:v>Only the owner sees their listings and accurate aggregate counts.</x:v>
      </x:c>
      <x:c r="M72" s="136" t="str">
        <x:v>Ownership; empty state; all statuses; pagination volume</x:v>
      </x:c>
      <x:c r="N72" s="136" t="str">
        <x:v>Dashboard is operational.</x:v>
      </x:c>
      <x:c r="O72" s="136" t="str">
        <x:v>Add pagination and automated tests if volume requires.</x:v>
      </x:c>
    </x:row>
    <x:row r="73">
      <x:c r="A73" s="135" t="str">
        <x:v>JW-069</x:v>
      </x:c>
      <x:c r="B73" s="135" t="str">
        <x:v>Listing Management</x:v>
      </x:c>
      <x:c r="C73" s="135" t="str">
        <x:v>Mark as sold</x:v>
      </x:c>
      <x:c r="D73" s="136" t="str">
        <x:v>Owner changes an active listing to sold</x:v>
      </x:c>
      <x:c r="E73" s="136" t="str">
        <x:v>Signed V1</x:v>
      </x:c>
      <x:c r="F73" s="136" t="str">
        <x:v>Completed</x:v>
      </x:c>
      <x:c r="G73" s="137" t="n">
        <x:v>1</x:v>
      </x:c>
      <x:c r="H73" s="136" t="str">
        <x:v>High</x:v>
      </x:c>
      <x:c r="I73" s="136" t="str">
        <x:v>Stage 2</x:v>
      </x:c>
      <x:c r="J73" s="136" t="str">
        <x:v>Unassigned</x:v>
      </x:c>
      <x:c r="K73" s="136" t="str">
        <x:v>Seller dashboard</x:v>
      </x:c>
      <x:c r="L73" s="136" t="str">
        <x:v>Only owner can mark sold and listing disappears from active search/contact.</x:v>
      </x:c>
      <x:c r="M73" s="136" t="str">
        <x:v>Owner/non-owner; repeated action; search exclusion</x:v>
      </x:c>
      <x:c r="N73" s="136" t="str">
        <x:v>markSoldAction checks ownership.</x:v>
      </x:c>
      <x:c r="O73" s="136" t="str">
        <x:v>Add confirmation/E2E and audit timestamps.</x:v>
      </x:c>
    </x:row>
    <x:row r="74">
      <x:c r="A74" s="135" t="str">
        <x:v>JW-070</x:v>
      </x:c>
      <x:c r="B74" s="135" t="str">
        <x:v>Listing Management</x:v>
      </x:c>
      <x:c r="C74" s="135" t="str">
        <x:v>Create draft</x:v>
      </x:c>
      <x:c r="D74" s="136" t="str">
        <x:v>Save incomplete listing privately and continue later</x:v>
      </x:c>
      <x:c r="E74" s="136" t="str">
        <x:v>Signed V1</x:v>
      </x:c>
      <x:c r="F74" s="136" t="str">
        <x:v>Completed</x:v>
      </x:c>
      <x:c r="G74" s="137" t="n">
        <x:v>1</x:v>
      </x:c>
      <x:c r="H74" s="136" t="str">
        <x:v>Low</x:v>
      </x:c>
      <x:c r="I74" s="136" t="str">
        <x:v>Stage 2</x:v>
      </x:c>
      <x:c r="J74" s="136" t="str">
        <x:v>Unassigned</x:v>
      </x:c>
      <x:c r="K74" s="136" t="str">
        <x:v>Draft product decision</x:v>
      </x:c>
      <x:c r="L74" s="136" t="str">
        <x:v>Draft is private, editable and never indexed/contactable.</x:v>
      </x:c>
      <x:c r="M74" s="136" t="str">
        <x:v>Create/resume/delete draft; authorization</x:v>
      </x:c>
      <x:c r="N74" s="136" t="str">
        <x:v>Owner listing CRUD, image management, lifecycle controls and inactive-listing privacy are implemented.</x:v>
      </x:c>
      <x:c r="O74" s="136" t="str">
        <x:v>Retain in final regression and comprehensive browser QA.</x:v>
      </x:c>
    </x:row>
    <x:row r="75">
      <x:c r="A75" s="135" t="str">
        <x:v>JW-071</x:v>
      </x:c>
      <x:c r="B75" s="135" t="str">
        <x:v>Listing Management</x:v>
      </x:c>
      <x:c r="C75" s="135" t="str">
        <x:v>Edit listing</x:v>
      </x:c>
      <x:c r="D75" s="136" t="str">
        <x:v>Owner edits all applicable listing fields</x:v>
      </x:c>
      <x:c r="E75" s="136" t="str">
        <x:v>Signed V1</x:v>
      </x:c>
      <x:c r="F75" s="136" t="str">
        <x:v>Completed</x:v>
      </x:c>
      <x:c r="G75" s="137" t="n">
        <x:v>1</x:v>
      </x:c>
      <x:c r="H75" s="136" t="str">
        <x:v>Critical</x:v>
      </x:c>
      <x:c r="I75" s="136" t="str">
        <x:v>Stage 2</x:v>
      </x:c>
      <x:c r="J75" s="136" t="str">
        <x:v>Unassigned</x:v>
      </x:c>
      <x:c r="K75" s="136" t="str">
        <x:v>Create forms and ownership checks</x:v>
      </x:c>
      <x:c r="L75" s="136" t="str">
        <x:v>Only owner/admin can edit; validation and facets remain correct; changes update timestamp/slug safely.</x:v>
      </x:c>
      <x:c r="M75" s="136" t="str">
        <x:v>Owner/non-owner/admin; each vertical; validation; SEO redirect</x:v>
      </x:c>
      <x:c r="N75" s="136" t="str">
        <x:v>Owner listing CRUD, image management, lifecycle controls and inactive-listing privacy are implemented.</x:v>
      </x:c>
      <x:c r="O75" s="136" t="str">
        <x:v>Retain in final regression and comprehensive browser QA.</x:v>
      </x:c>
    </x:row>
    <x:row r="76">
      <x:c r="A76" s="135" t="str">
        <x:v>JW-072</x:v>
      </x:c>
      <x:c r="B76" s="135" t="str">
        <x:v>Listing Management</x:v>
      </x:c>
      <x:c r="C76" s="135" t="str">
        <x:v>Delete listing</x:v>
      </x:c>
      <x:c r="D76" s="136" t="str">
        <x:v>Owner removes their listing with clear recovery/policy behavior</x:v>
      </x:c>
      <x:c r="E76" s="136" t="str">
        <x:v>Signed V1</x:v>
      </x:c>
      <x:c r="F76" s="136" t="str">
        <x:v>Completed</x:v>
      </x:c>
      <x:c r="G76" s="137" t="n">
        <x:v>1</x:v>
      </x:c>
      <x:c r="H76" s="136" t="str">
        <x:v>Critical</x:v>
      </x:c>
      <x:c r="I76" s="136" t="str">
        <x:v>Stage 2</x:v>
      </x:c>
      <x:c r="J76" s="136" t="str">
        <x:v>Unassigned</x:v>
      </x:c>
      <x:c r="K76" s="136" t="str">
        <x:v>Ownership and media cleanup</x:v>
      </x:c>
      <x:c r="L76" s="136" t="str">
        <x:v>Only owner/admin can delete; search/detail exposure and related records follow approved soft/hard-delete policy.</x:v>
      </x:c>
      <x:c r="M76" s="136" t="str">
        <x:v>Owner/non-owner; related images/reports; repeat delete</x:v>
      </x:c>
      <x:c r="N76" s="136" t="str">
        <x:v>Owner listing CRUD, image management, lifecycle controls and inactive-listing privacy are implemented.</x:v>
      </x:c>
      <x:c r="O76" s="136" t="str">
        <x:v>Retain in final regression and comprehensive browser QA.</x:v>
      </x:c>
    </x:row>
    <x:row r="77">
      <x:c r="A77" s="135" t="str">
        <x:v>JW-073</x:v>
      </x:c>
      <x:c r="B77" s="135" t="str">
        <x:v>Listing Management</x:v>
      </x:c>
      <x:c r="C77" s="135" t="str">
        <x:v>Image management after posting</x:v>
      </x:c>
      <x:c r="D77" s="136" t="str">
        <x:v>Add, remove, reorder and choose primary image</x:v>
      </x:c>
      <x:c r="E77" s="136" t="str">
        <x:v>Signed V1</x:v>
      </x:c>
      <x:c r="F77" s="136" t="str">
        <x:v>Completed</x:v>
      </x:c>
      <x:c r="G77" s="137" t="n">
        <x:v>1</x:v>
      </x:c>
      <x:c r="H77" s="136" t="str">
        <x:v>High</x:v>
      </x:c>
      <x:c r="I77" s="136" t="str">
        <x:v>Stage 2</x:v>
      </x:c>
      <x:c r="J77" s="136" t="str">
        <x:v>Unassigned</x:v>
      </x:c>
      <x:c r="K77" s="136" t="str">
        <x:v>Edit listing and media ownership</x:v>
      </x:c>
      <x:c r="L77" s="136" t="str">
        <x:v>Only owner can mutate media and photoCount/order stay consistent.</x:v>
      </x:c>
      <x:c r="M77" s="136" t="str">
        <x:v>Authorization; max count; reorder; failed deletion</x:v>
      </x:c>
      <x:c r="N77" s="136" t="str">
        <x:v>Owner listing CRUD, image management, lifecycle controls and inactive-listing privacy are implemented.</x:v>
      </x:c>
      <x:c r="O77" s="136" t="str">
        <x:v>Retain in final regression and comprehensive browser QA.</x:v>
      </x:c>
    </x:row>
    <x:row r="78">
      <x:c r="A78" s="135" t="str">
        <x:v>JW-074</x:v>
      </x:c>
      <x:c r="B78" s="135" t="str">
        <x:v>Listing Management</x:v>
      </x:c>
      <x:c r="C78" s="135" t="str">
        <x:v>Listing status lifecycle</x:v>
      </x:c>
      <x:c r="D78" s="136" t="str">
        <x:v>Draft, Live, Flagged, Sold and Removed behavior</x:v>
      </x:c>
      <x:c r="E78" s="136" t="str">
        <x:v>Signed V1</x:v>
      </x:c>
      <x:c r="F78" s="136" t="str">
        <x:v>Completed</x:v>
      </x:c>
      <x:c r="G78" s="137" t="n">
        <x:v>1</x:v>
      </x:c>
      <x:c r="H78" s="136" t="str">
        <x:v>Critical</x:v>
      </x:c>
      <x:c r="I78" s="136" t="str">
        <x:v>Stage 2</x:v>
      </x:c>
      <x:c r="J78" s="136" t="str">
        <x:v>Unassigned</x:v>
      </x:c>
      <x:c r="K78" s="136" t="str">
        <x:v>Publishing and moderation</x:v>
      </x:c>
      <x:c r="L78" s="136" t="str">
        <x:v>Every agreed status has defined transitions, visibility, contactability and audit rules.</x:v>
      </x:c>
      <x:c r="M78" s="136" t="str">
        <x:v>State-transition matrix; illegal transitions; SEO</x:v>
      </x:c>
      <x:c r="N78" s="136" t="str">
        <x:v>Owner listing CRUD, image management, lifecycle controls and inactive-listing privacy are implemented.</x:v>
      </x:c>
      <x:c r="O78" s="136" t="str">
        <x:v>Retain in final regression and comprehensive browser QA.</x:v>
      </x:c>
    </x:row>
    <x:row r="79">
      <x:c r="A79" s="135" t="str">
        <x:v>JW-075</x:v>
      </x:c>
      <x:c r="B79" s="135" t="str">
        <x:v>Listing Management</x:v>
      </x:c>
      <x:c r="C79" s="135" t="str">
        <x:v>Listing expiry</x:v>
      </x:c>
      <x:c r="D79" s="136" t="str">
        <x:v>Automatically expire stale active listings</x:v>
      </x:c>
      <x:c r="E79" s="136" t="str">
        <x:v>Signed V1</x:v>
      </x:c>
      <x:c r="F79" s="136" t="str">
        <x:v>Partially Implemented</x:v>
      </x:c>
      <x:c r="G79" s="137" t="n">
        <x:v>0.75</x:v>
      </x:c>
      <x:c r="H79" s="136" t="str">
        <x:v>High</x:v>
      </x:c>
      <x:c r="I79" s="136" t="str">
        <x:v>Stage 6</x:v>
      </x:c>
      <x:c r="J79" s="136" t="str">
        <x:v>Unassigned</x:v>
      </x:c>
      <x:c r="K79" s="136" t="str">
        <x:v>External cron scheduler</x:v>
      </x:c>
      <x:c r="L79" s="136" t="str">
        <x:v>Expired listings stop appearing as active and seller can understand/reactivate per policy.</x:v>
      </x:c>
      <x:c r="M79" s="136" t="str">
        <x:v>TTL boundary; cron auth; search/detail behavior</x:v>
      </x:c>
      <x:c r="N79" s="136" t="str">
        <x:v>Protected expire endpoint exists; scheduler and reactivation are missing.</x:v>
      </x:c>
      <x:c r="O79" s="136" t="str">
        <x:v>Configure scheduler and define renewal flow.</x:v>
      </x:c>
    </x:row>
    <x:row r="80">
      <x:c r="A80" s="135" t="str">
        <x:v>JW-076</x:v>
      </x:c>
      <x:c r="B80" s="135" t="str">
        <x:v>Listing Management</x:v>
      </x:c>
      <x:c r="C80" s="135" t="str">
        <x:v>Inactive listing privacy</x:v>
      </x:c>
      <x:c r="D80" s="136" t="str">
        <x:v>Prevent public access to drafts, pending, rejected and removed listings</x:v>
      </x:c>
      <x:c r="E80" s="136" t="str">
        <x:v>Signed V1</x:v>
      </x:c>
      <x:c r="F80" s="136" t="str">
        <x:v>Completed</x:v>
      </x:c>
      <x:c r="G80" s="137" t="n">
        <x:v>1</x:v>
      </x:c>
      <x:c r="H80" s="136" t="str">
        <x:v>Critical</x:v>
      </x:c>
      <x:c r="I80" s="136" t="str">
        <x:v>Stage 1</x:v>
      </x:c>
      <x:c r="J80" s="136" t="str">
        <x:v>Unassigned</x:v>
      </x:c>
      <x:c r="K80" s="136" t="str">
        <x:v>Detail-route authorization</x:v>
      </x:c>
      <x:c r="L80" s="136" t="str">
        <x:v>Only active/sold listings allowed by policy are public; private states are accessible only to owner/admin.</x:v>
      </x:c>
      <x:c r="M80" s="136" t="str">
        <x:v>Anonymous direct URL for every status; owner/admin views</x:v>
      </x:c>
      <x:c r="N80" s="136" t="str">
        <x:v>Owner listing CRUD, image management, lifecycle controls and inactive-listing privacy are implemented.</x:v>
      </x:c>
      <x:c r="O80" s="136" t="str">
        <x:v>Retain in final regression and comprehensive browser QA.</x:v>
      </x:c>
    </x:row>
    <x:row r="81">
      <x:c r="A81" s="135" t="str">
        <x:v>JW-077</x:v>
      </x:c>
      <x:c r="B81" s="135" t="str">
        <x:v>Media &amp; Images</x:v>
      </x:c>
      <x:c r="C81" s="135" t="str">
        <x:v>Authenticated upload endpoint</x:v>
      </x:c>
      <x:c r="D81" s="136" t="str">
        <x:v>Only signed-in users may upload images</x:v>
      </x:c>
      <x:c r="E81" s="136" t="str">
        <x:v>Signed V1</x:v>
      </x:c>
      <x:c r="F81" s="136" t="str">
        <x:v>Completed</x:v>
      </x:c>
      <x:c r="G81" s="137" t="n">
        <x:v>1</x:v>
      </x:c>
      <x:c r="H81" s="136" t="str">
        <x:v>Critical</x:v>
      </x:c>
      <x:c r="I81" s="136" t="str">
        <x:v>Stage 1</x:v>
      </x:c>
      <x:c r="J81" s="136" t="str">
        <x:v>Unassigned</x:v>
      </x:c>
      <x:c r="K81" s="136" t="str">
        <x:v>Authentication</x:v>
      </x:c>
      <x:c r="L81" s="136" t="str">
        <x:v>Anonymous uploads receive 401 and authenticated valid uploads succeed.</x:v>
      </x:c>
      <x:c r="M81" s="136" t="str">
        <x:v>Anonymous/auth; large batch; malformed form</x:v>
      </x:c>
      <x:c r="N81" s="136" t="str">
        <x:v>Upload route checks current user.</x:v>
      </x:c>
      <x:c r="O81" s="136" t="str">
        <x:v>Add rate limiting and ownership token binding.</x:v>
      </x:c>
    </x:row>
    <x:row r="82">
      <x:c r="A82" s="135" t="str">
        <x:v>JW-078</x:v>
      </x:c>
      <x:c r="B82" s="135" t="str">
        <x:v>Media &amp; Images</x:v>
      </x:c>
      <x:c r="C82" s="135" t="str">
        <x:v>File type validation</x:v>
      </x:c>
      <x:c r="D82" s="136" t="str">
        <x:v>MIME allowlist and magic-byte sniffing</x:v>
      </x:c>
      <x:c r="E82" s="136" t="str">
        <x:v>Signed V1</x:v>
      </x:c>
      <x:c r="F82" s="136" t="str">
        <x:v>Completed</x:v>
      </x:c>
      <x:c r="G82" s="137" t="n">
        <x:v>1</x:v>
      </x:c>
      <x:c r="H82" s="136" t="str">
        <x:v>Critical</x:v>
      </x:c>
      <x:c r="I82" s="136" t="str">
        <x:v>Stage 1</x:v>
      </x:c>
      <x:c r="J82" s="136" t="str">
        <x:v>Unassigned</x:v>
      </x:c>
      <x:c r="K82" s="136" t="str">
        <x:v>Upload endpoint</x:v>
      </x:c>
      <x:c r="L82" s="136" t="str">
        <x:v>Executable/SVG/polyglot payloads cannot be stored as images.</x:v>
      </x:c>
      <x:c r="M82" s="136" t="str">
        <x:v>Spoofed MIME; SVG; truncated files; valid formats</x:v>
      </x:c>
      <x:c r="N82" s="136" t="str">
        <x:v>JPEG, PNG, WebP, AVIF and HEIC signatures are checked.</x:v>
      </x:c>
      <x:c r="O82" s="136" t="str">
        <x:v>Security-test representative malicious files.</x:v>
      </x:c>
    </x:row>
    <x:row r="83">
      <x:c r="A83" s="135" t="str">
        <x:v>JW-079</x:v>
      </x:c>
      <x:c r="B83" s="135" t="str">
        <x:v>Media &amp; Images</x:v>
      </x:c>
      <x:c r="C83" s="135" t="str">
        <x:v>Upload size/count limits</x:v>
      </x:c>
      <x:c r="D83" s="136" t="str">
        <x:v>10 MB per file and maximum 30 files per request/listing</x:v>
      </x:c>
      <x:c r="E83" s="136" t="str">
        <x:v>Signed V1</x:v>
      </x:c>
      <x:c r="F83" s="136" t="str">
        <x:v>Completed</x:v>
      </x:c>
      <x:c r="G83" s="137" t="n">
        <x:v>1</x:v>
      </x:c>
      <x:c r="H83" s="136" t="str">
        <x:v>High</x:v>
      </x:c>
      <x:c r="I83" s="136" t="str">
        <x:v>Stage 1</x:v>
      </x:c>
      <x:c r="J83" s="136" t="str">
        <x:v>Unassigned</x:v>
      </x:c>
      <x:c r="K83" s="136" t="str">
        <x:v>Upload endpoint</x:v>
      </x:c>
      <x:c r="L83" s="136" t="str">
        <x:v>Limits are enforced server-side and errors are understandable.</x:v>
      </x:c>
      <x:c r="M83" s="136" t="str">
        <x:v>9.9/10/10.1 MB; 29/30/31 files</x:v>
      </x:c>
      <x:c r="N83" s="136" t="str">
        <x:v>Server and listing schema enforce limits.</x:v>
      </x:c>
      <x:c r="O83" s="136" t="str">
        <x:v>Add aggregate request-size protection.</x:v>
      </x:c>
    </x:row>
    <x:row r="84">
      <x:c r="A84" s="135" t="str">
        <x:v>JW-080</x:v>
      </x:c>
      <x:c r="B84" s="135" t="str">
        <x:v>Media &amp; Images</x:v>
      </x:c>
      <x:c r="C84" s="135" t="str">
        <x:v>Upload ownership binding</x:v>
      </x:c>
      <x:c r="D84" s="136" t="str">
        <x:v>Ensure uploaded keys can only be attached by the uploader</x:v>
      </x:c>
      <x:c r="E84" s="136" t="str">
        <x:v>Signed V1</x:v>
      </x:c>
      <x:c r="F84" s="136" t="str">
        <x:v>Completed</x:v>
      </x:c>
      <x:c r="G84" s="137" t="n">
        <x:v>1</x:v>
      </x:c>
      <x:c r="H84" s="136" t="str">
        <x:v>Critical</x:v>
      </x:c>
      <x:c r="I84" s="136" t="str">
        <x:v>Stage 1</x:v>
      </x:c>
      <x:c r="J84" s="136" t="str">
        <x:v>Unassigned</x:v>
      </x:c>
      <x:c r="K84" s="136" t="str">
        <x:v>Temporary upload record or signed key</x:v>
      </x:c>
      <x:c r="L84" s="136" t="str">
        <x:v>A user cannot attach another user's uploaded image key to their listing.</x:v>
      </x:c>
      <x:c r="M84" s="136" t="str">
        <x:v>Key theft; cross-user attach; expired temp upload</x:v>
      </x:c>
      <x:c r="N84" s="136" t="str">
        <x:v>Upload ownership controls were completed with the listing CRUD/security work.</x:v>
      </x:c>
      <x:c r="O84" s="136" t="str">
        <x:v>Retain in final regression and comprehensive browser QA.</x:v>
      </x:c>
    </x:row>
    <x:row r="85">
      <x:c r="A85" s="135" t="str">
        <x:v>JW-081</x:v>
      </x:c>
      <x:c r="B85" s="135" t="str">
        <x:v>Media &amp; Images</x:v>
      </x:c>
      <x:c r="C85" s="135" t="str">
        <x:v>Orphan cleanup</x:v>
      </x:c>
      <x:c r="D85" s="136" t="str">
        <x:v>Delete uploads never attached to a listing</x:v>
      </x:c>
      <x:c r="E85" s="136" t="str">
        <x:v>Signed V1</x:v>
      </x:c>
      <x:c r="F85" s="136" t="str">
        <x:v>Pending</x:v>
      </x:c>
      <x:c r="G85" s="137" t="n">
        <x:v>0</x:v>
      </x:c>
      <x:c r="H85" s="136" t="str">
        <x:v>Medium</x:v>
      </x:c>
      <x:c r="I85" s="136" t="str">
        <x:v>Stage 6</x:v>
      </x:c>
      <x:c r="J85" s="136" t="str">
        <x:v>Unassigned</x:v>
      </x:c>
      <x:c r="K85" s="136" t="str">
        <x:v>Upload ownership metadata and cron</x:v>
      </x:c>
      <x:c r="L85" s="136" t="str">
        <x:v>Stale unattached files are purged without deleting active listing media.</x:v>
      </x:c>
      <x:c r="M85" s="136" t="str">
        <x:v>Age boundary; attached/unattached; failed delete</x:v>
      </x:c>
      <x:c r="N85" s="136" t="str">
        <x:v>No cleanup mechanism exists.</x:v>
      </x:c>
      <x:c r="O85" s="136" t="str">
        <x:v>Add scheduled cleanup after ownership binding.</x:v>
      </x:c>
    </x:row>
    <x:row r="86">
      <x:c r="A86" s="135" t="str">
        <x:v>JW-082</x:v>
      </x:c>
      <x:c r="B86" s="135" t="str">
        <x:v>Media &amp; Images</x:v>
      </x:c>
      <x:c r="C86" s="135" t="str">
        <x:v>Local development storage</x:v>
      </x:c>
      <x:c r="D86" s="136" t="str">
        <x:v>Write files under configurable absolute upload directory</x:v>
      </x:c>
      <x:c r="E86" s="136" t="str">
        <x:v>Signed V1</x:v>
      </x:c>
      <x:c r="F86" s="136" t="str">
        <x:v>Completed</x:v>
      </x:c>
      <x:c r="G86" s="137" t="n">
        <x:v>1</x:v>
      </x:c>
      <x:c r="H86" s="136" t="str">
        <x:v>Medium</x:v>
      </x:c>
      <x:c r="I86" s="136" t="str">
        <x:v>Stage 0</x:v>
      </x:c>
      <x:c r="J86" s="136" t="str">
        <x:v>Unassigned</x:v>
      </x:c>
      <x:c r="K86" s="136" t="str">
        <x:v>UPLOAD_DIR</x:v>
      </x:c>
      <x:c r="L86" s="136" t="str">
        <x:v>Uploads remain available when server starts from another working directory.</x:v>
      </x:c>
      <x:c r="M86" s="136" t="str">
        <x:v>Absolute/relative path; restart; broken image sweep</x:v>
      </x:c>
      <x:c r="N86" s="136" t="str">
        <x:v>UPLOAD_DIR fallback is implemented.</x:v>
      </x:c>
      <x:c r="O86" s="136" t="str">
        <x:v>Keep local provider development-only.</x:v>
      </x:c>
    </x:row>
    <x:row r="87">
      <x:c r="A87" s="135" t="str">
        <x:v>JW-083</x:v>
      </x:c>
      <x:c r="B87" s="135" t="str">
        <x:v>Media &amp; Images</x:v>
      </x:c>
      <x:c r="C87" s="135" t="str">
        <x:v>Cloudflare Images provider</x:v>
      </x:c>
      <x:c r="D87" s="136" t="str">
        <x:v>Production upload and delivery integration</x:v>
      </x:c>
      <x:c r="E87" s="136" t="str">
        <x:v>Signed V1</x:v>
      </x:c>
      <x:c r="F87" s="136" t="str">
        <x:v>Partially Implemented</x:v>
      </x:c>
      <x:c r="G87" s="137" t="n">
        <x:v>0.65</x:v>
      </x:c>
      <x:c r="H87" s="136" t="str">
        <x:v>Critical</x:v>
      </x:c>
      <x:c r="I87" s="136" t="str">
        <x:v>Stage 6</x:v>
      </x:c>
      <x:c r="J87" s="136" t="str">
        <x:v>Unassigned</x:v>
      </x:c>
      <x:c r="K87" s="136" t="str">
        <x:v>Cloudflare credentials and delivery hash</x:v>
      </x:c>
      <x:c r="L87" s="136" t="str">
        <x:v>Upload, transformations and display work in staging and production with consistent variables.</x:v>
      </x:c>
      <x:c r="M87" s="136" t="str">
        <x:v>Upload/display/delete; credential failure; variants</x:v>
      </x:c>
      <x:c r="N87" s="136" t="str">
        <x:v>Upload and display branches exist but have not been production-validated.</x:v>
      </x:c>
      <x:c r="O87" s="136" t="str">
        <x:v>Configure staging and complete end-to-end media tests.</x:v>
      </x:c>
    </x:row>
    <x:row r="88">
      <x:c r="A88" s="135" t="str">
        <x:v>JW-084</x:v>
      </x:c>
      <x:c r="B88" s="135" t="str">
        <x:v>Media &amp; Images</x:v>
      </x:c>
      <x:c r="C88" s="135" t="str">
        <x:v>S3-compatible provider</x:v>
      </x:c>
      <x:c r="D88" s="136" t="str">
        <x:v>R2/S3 storage option advertised in environment documentation</x:v>
      </x:c>
      <x:c r="E88" s="136" t="str">
        <x:v>Signed V1</x:v>
      </x:c>
      <x:c r="F88" s="136" t="str">
        <x:v>Requires Correction</x:v>
      </x:c>
      <x:c r="G88" s="137" t="n">
        <x:v>0.15</x:v>
      </x:c>
      <x:c r="H88" s="136" t="str">
        <x:v>High</x:v>
      </x:c>
      <x:c r="I88" s="136" t="str">
        <x:v>Stage 6</x:v>
      </x:c>
      <x:c r="J88" s="136" t="str">
        <x:v>Unassigned</x:v>
      </x:c>
      <x:c r="K88" s="136" t="str">
        <x:v>Production storage choice</x:v>
      </x:c>
      <x:c r="L88" s="136" t="str">
        <x:v>Either provider is implemented end to end or unused variables/documentation are removed.</x:v>
      </x:c>
      <x:c r="M88" s="136" t="str">
        <x:v>Upload/display/delete; URL generation</x:v>
      </x:c>
      <x:c r="N88" s="136" t="str">
        <x:v>S3 variables exist in .env.example, but storage.ts falls back to local for any non-cloudflare value.</x:v>
      </x:c>
      <x:c r="O88" s="136" t="str">
        <x:v>Remove unsupported S3 config or implement it deliberately.</x:v>
      </x:c>
    </x:row>
    <x:row r="89">
      <x:c r="A89" s="135" t="str">
        <x:v>JW-085</x:v>
      </x:c>
      <x:c r="B89" s="135" t="str">
        <x:v>Media &amp; Images</x:v>
      </x:c>
      <x:c r="C89" s="135" t="str">
        <x:v>Image optimization</x:v>
      </x:c>
      <x:c r="D89" s="136" t="str">
        <x:v>Responsive delivery in listing cards and detail gallery</x:v>
      </x:c>
      <x:c r="E89" s="136" t="str">
        <x:v>Signed V1</x:v>
      </x:c>
      <x:c r="F89" s="136" t="str">
        <x:v>Partially Implemented</x:v>
      </x:c>
      <x:c r="G89" s="137" t="n">
        <x:v>0.7</x:v>
      </x:c>
      <x:c r="H89" s="136" t="str">
        <x:v>High</x:v>
      </x:c>
      <x:c r="I89" s="136" t="str">
        <x:v>Stage 6</x:v>
      </x:c>
      <x:c r="J89" s="136" t="str">
        <x:v>Unassigned</x:v>
      </x:c>
      <x:c r="K89" s="136" t="str">
        <x:v>Production image provider</x:v>
      </x:c>
      <x:c r="L89" s="136" t="str">
        <x:v>Correct variants load with modern formats, dimensions and acceptable visual quality.</x:v>
      </x:c>
      <x:c r="M89" s="136" t="str">
        <x:v>LCP; mobile bandwidth; broken URLs; alt text</x:v>
      </x:c>
      <x:c r="N89" s="136" t="str">
        <x:v>Next Image and Cloudflare width paths are used; production validation remains.</x:v>
      </x:c>
      <x:c r="O89" s="136" t="str">
        <x:v>Run Lighthouse and real-device tests.</x:v>
      </x:c>
    </x:row>
    <x:row r="90">
      <x:c r="A90" s="135" t="str">
        <x:v>JW-086</x:v>
      </x:c>
      <x:c r="B90" s="135" t="str">
        <x:v>Search &amp; Browse</x:v>
      </x:c>
      <x:c r="C90" s="135" t="str">
        <x:v>Vertical browse routes</x:v>
      </x:c>
      <x:c r="D90" s="136" t="str">
        <x:v>Separate browse and detail handling for cars, bikes and parts</x:v>
      </x:c>
      <x:c r="E90" s="136" t="str">
        <x:v>Signed V1</x:v>
      </x:c>
      <x:c r="F90" s="136" t="str">
        <x:v>Completed</x:v>
      </x:c>
      <x:c r="G90" s="137" t="n">
        <x:v>1</x:v>
      </x:c>
      <x:c r="H90" s="136" t="str">
        <x:v>Critical</x:v>
      </x:c>
      <x:c r="I90" s="136" t="str">
        <x:v>Stage 3</x:v>
      </x:c>
      <x:c r="J90" s="136" t="str">
        <x:v>Unassigned</x:v>
      </x:c>
      <x:c r="K90" s="136" t="str">
        <x:v>Shared vertical router</x:v>
      </x:c>
      <x:c r="L90" s="136" t="str">
        <x:v>All three roots load and unknown segments return 404.</x:v>
      </x:c>
      <x:c r="M90" s="136" t="str">
        <x:v>Root routes; unknown segments; ambiguous numeric slugs</x:v>
      </x:c>
      <x:c r="N90" s="136" t="str">
        <x:v>Shared VerticalPage implementation exists.</x:v>
      </x:c>
      <x:c r="O90" s="136" t="str">
        <x:v>Keep route sweep coverage.</x:v>
      </x:c>
    </x:row>
    <x:row r="91">
      <x:c r="A91" s="135" t="str">
        <x:v>JW-087</x:v>
      </x:c>
      <x:c r="B91" s="135" t="str">
        <x:v>Search &amp; Browse</x:v>
      </x:c>
      <x:c r="C91" s="135" t="str">
        <x:v>Active-listing visibility</x:v>
      </x:c>
      <x:c r="D91" s="136" t="str">
        <x:v>Search returns only active listings</x:v>
      </x:c>
      <x:c r="E91" s="136" t="str">
        <x:v>Signed V1</x:v>
      </x:c>
      <x:c r="F91" s="136" t="str">
        <x:v>Completed</x:v>
      </x:c>
      <x:c r="G91" s="137" t="n">
        <x:v>1</x:v>
      </x:c>
      <x:c r="H91" s="136" t="str">
        <x:v>Critical</x:v>
      </x:c>
      <x:c r="I91" s="136" t="str">
        <x:v>Stage 3</x:v>
      </x:c>
      <x:c r="J91" s="136" t="str">
        <x:v>Unassigned</x:v>
      </x:c>
      <x:c r="K91" s="136" t="str">
        <x:v>Listing status</x:v>
      </x:c>
      <x:c r="L91" s="136" t="str">
        <x:v>No non-active listing appears in results or homepage latest inventory.</x:v>
      </x:c>
      <x:c r="M91" s="136" t="str">
        <x:v>Each status; verticals; dealer storefront</x:v>
      </x:c>
      <x:c r="N91" s="136" t="str">
        <x:v>Search where clause requires active.</x:v>
      </x:c>
      <x:c r="O91" s="136" t="str">
        <x:v>Automate regression tests.</x:v>
      </x:c>
    </x:row>
    <x:row r="92">
      <x:c r="A92" s="135" t="str">
        <x:v>JW-088</x:v>
      </x:c>
      <x:c r="B92" s="135" t="str">
        <x:v>Search &amp; Browse</x:v>
      </x:c>
      <x:c r="C92" s="135" t="str">
        <x:v>Make filter</x:v>
      </x:c>
      <x:c r="D92" s="136" t="str">
        <x:v>Filter cars/bikes by curated make</x:v>
      </x:c>
      <x:c r="E92" s="136" t="str">
        <x:v>Signed V1</x:v>
      </x:c>
      <x:c r="F92" s="136" t="str">
        <x:v>Completed</x:v>
      </x:c>
      <x:c r="G92" s="137" t="n">
        <x:v>1</x:v>
      </x:c>
      <x:c r="H92" s="136" t="str">
        <x:v>High</x:v>
      </x:c>
      <x:c r="I92" s="136" t="str">
        <x:v>Stage 3</x:v>
      </x:c>
      <x:c r="J92" s="136" t="str">
        <x:v>Unassigned</x:v>
      </x:c>
      <x:c r="K92" s="136" t="str">
        <x:v>Taxonomy</x:v>
      </x:c>
      <x:c r="L92" s="136" t="str">
        <x:v>Results contain only selected make and canonical URL resolves.</x:v>
      </x:c>
      <x:c r="M92" s="136" t="str">
        <x:v>Each vertical; no results; invalid slug</x:v>
      </x:c>
      <x:c r="N92" s="136" t="str">
        <x:v>Implemented in facet parsing/search.</x:v>
      </x:c>
      <x:c r="O92" s="136" t="str">
        <x:v>Add UI on browse page.</x:v>
      </x:c>
    </x:row>
    <x:row r="93">
      <x:c r="A93" s="135" t="str">
        <x:v>JW-089</x:v>
      </x:c>
      <x:c r="B93" s="135" t="str">
        <x:v>Search &amp; Browse</x:v>
      </x:c>
      <x:c r="C93" s="135" t="str">
        <x:v>Model filter</x:v>
      </x:c>
      <x:c r="D93" s="136" t="str">
        <x:v>Filter cars/bikes by curated model</x:v>
      </x:c>
      <x:c r="E93" s="136" t="str">
        <x:v>Signed V1</x:v>
      </x:c>
      <x:c r="F93" s="136" t="str">
        <x:v>Completed</x:v>
      </x:c>
      <x:c r="G93" s="137" t="n">
        <x:v>1</x:v>
      </x:c>
      <x:c r="H93" s="136" t="str">
        <x:v>High</x:v>
      </x:c>
      <x:c r="I93" s="136" t="str">
        <x:v>Stage 3</x:v>
      </x:c>
      <x:c r="J93" s="136" t="str">
        <x:v>Unassigned</x:v>
      </x:c>
      <x:c r="K93" s="136" t="str">
        <x:v>Taxonomy</x:v>
      </x:c>
      <x:c r="L93" s="136" t="str">
        <x:v>Results contain only selected model and implied make is consistent.</x:v>
      </x:c>
      <x:c r="M93" s="136" t="str">
        <x:v>Model/make overlap; ambiguous numeric names</x:v>
      </x:c>
      <x:c r="N93" s="136" t="str">
        <x:v>Implemented.</x:v>
      </x:c>
      <x:c r="O93" s="136" t="str">
        <x:v>Add browse-page controls and tests.</x:v>
      </x:c>
    </x:row>
    <x:row r="94">
      <x:c r="A94" s="135" t="str">
        <x:v>JW-090</x:v>
      </x:c>
      <x:c r="B94" s="135" t="str">
        <x:v>Search &amp; Browse</x:v>
      </x:c>
      <x:c r="C94" s="135" t="str">
        <x:v>City and province filters</x:v>
      </x:c>
      <x:c r="D94" s="136" t="str">
        <x:v>Filter all verticals by location</x:v>
      </x:c>
      <x:c r="E94" s="136" t="str">
        <x:v>Signed V1</x:v>
      </x:c>
      <x:c r="F94" s="136" t="str">
        <x:v>Completed</x:v>
      </x:c>
      <x:c r="G94" s="137" t="n">
        <x:v>1</x:v>
      </x:c>
      <x:c r="H94" s="136" t="str">
        <x:v>High</x:v>
      </x:c>
      <x:c r="I94" s="136" t="str">
        <x:v>Stage 3</x:v>
      </x:c>
      <x:c r="J94" s="136" t="str">
        <x:v>Unassigned</x:v>
      </x:c>
      <x:c r="K94" s="136" t="str">
        <x:v>Geography</x:v>
      </x:c>
      <x:c r="L94" s="136" t="str">
        <x:v>City/province results are accurate and city suppresses redundant province URL.</x:v>
      </x:c>
      <x:c r="M94" s="136" t="str">
        <x:v>City; province; combination; invalid slug</x:v>
      </x:c>
      <x:c r="N94" s="136" t="str">
        <x:v>Implemented in search and canonical builder.</x:v>
      </x:c>
      <x:c r="O94" s="136" t="str">
        <x:v>Add visible filter controls on browse pages.</x:v>
      </x:c>
    </x:row>
    <x:row r="95">
      <x:c r="A95" s="135" t="str">
        <x:v>JW-091</x:v>
      </x:c>
      <x:c r="B95" s="135" t="str">
        <x:v>Search &amp; Browse</x:v>
      </x:c>
      <x:c r="C95" s="135" t="str">
        <x:v>Body type filter</x:v>
      </x:c>
      <x:c r="D95" s="136" t="str">
        <x:v>Filter cars by supported body type</x:v>
      </x:c>
      <x:c r="E95" s="136" t="str">
        <x:v>Signed V1</x:v>
      </x:c>
      <x:c r="F95" s="136" t="str">
        <x:v>Completed</x:v>
      </x:c>
      <x:c r="G95" s="137" t="n">
        <x:v>1</x:v>
      </x:c>
      <x:c r="H95" s="136" t="str">
        <x:v>Medium</x:v>
      </x:c>
      <x:c r="I95" s="136" t="str">
        <x:v>Stage 3</x:v>
      </x:c>
      <x:c r="J95" s="136" t="str">
        <x:v>Unassigned</x:v>
      </x:c>
      <x:c r="K95" s="136" t="str">
        <x:v>Car facets</x:v>
      </x:c>
      <x:c r="L95" s="136" t="str">
        <x:v>Every visible body type returns only matching cars.</x:v>
      </x:c>
      <x:c r="M95" s="136" t="str">
        <x:v>Enum values; underscore/hyphen conversion; empty</x:v>
      </x:c>
      <x:c r="N95" s="136" t="str">
        <x:v>Implemented and exposed on homepage.</x:v>
      </x:c>
      <x:c r="O95" s="136" t="str">
        <x:v>Add browse filter UI and data tests.</x:v>
      </x:c>
    </x:row>
    <x:row r="96">
      <x:c r="A96" s="135" t="str">
        <x:v>JW-092</x:v>
      </x:c>
      <x:c r="B96" s="135" t="str">
        <x:v>Search &amp; Browse</x:v>
      </x:c>
      <x:c r="C96" s="135" t="str">
        <x:v>Transmission filter</x:v>
      </x:c>
      <x:c r="D96" s="136" t="str">
        <x:v>Manual/automatic car filtering</x:v>
      </x:c>
      <x:c r="E96" s="136" t="str">
        <x:v>Signed V1</x:v>
      </x:c>
      <x:c r="F96" s="136" t="str">
        <x:v>Completed</x:v>
      </x:c>
      <x:c r="G96" s="137" t="n">
        <x:v>1</x:v>
      </x:c>
      <x:c r="H96" s="136" t="str">
        <x:v>Medium</x:v>
      </x:c>
      <x:c r="I96" s="136" t="str">
        <x:v>Stage 3</x:v>
      </x:c>
      <x:c r="J96" s="136" t="str">
        <x:v>Unassigned</x:v>
      </x:c>
      <x:c r="K96" s="136" t="str">
        <x:v>Car facets</x:v>
      </x:c>
      <x:c r="L96" s="136" t="str">
        <x:v>Results accurately match selected transmission.</x:v>
      </x:c>
      <x:c r="M96" s="136" t="str">
        <x:v>Both values; invalid value; combinations</x:v>
      </x:c>
      <x:c r="N96" s="136" t="str">
        <x:v>Search and URL parser support it.</x:v>
      </x:c>
      <x:c r="O96" s="136" t="str">
        <x:v>Expose in browse filter UI.</x:v>
      </x:c>
    </x:row>
    <x:row r="97">
      <x:c r="A97" s="135" t="str">
        <x:v>JW-093</x:v>
      </x:c>
      <x:c r="B97" s="135" t="str">
        <x:v>Search &amp; Browse</x:v>
      </x:c>
      <x:c r="C97" s="135" t="str">
        <x:v>Fuel filter</x:v>
      </x:c>
      <x:c r="D97" s="136" t="str">
        <x:v>Fuel filtering for cars and bikes</x:v>
      </x:c>
      <x:c r="E97" s="136" t="str">
        <x:v>Signed V1</x:v>
      </x:c>
      <x:c r="F97" s="136" t="str">
        <x:v>Completed</x:v>
      </x:c>
      <x:c r="G97" s="137" t="n">
        <x:v>1</x:v>
      </x:c>
      <x:c r="H97" s="136" t="str">
        <x:v>Medium</x:v>
      </x:c>
      <x:c r="I97" s="136" t="str">
        <x:v>Stage 3</x:v>
      </x:c>
      <x:c r="J97" s="136" t="str">
        <x:v>Unassigned</x:v>
      </x:c>
      <x:c r="K97" s="136" t="str">
        <x:v>Vehicle facets</x:v>
      </x:c>
      <x:c r="L97" s="136" t="str">
        <x:v>Results accurately match selected fuel and unsupported values 404.</x:v>
      </x:c>
      <x:c r="M97" s="136" t="str">
        <x:v>All enum values; vertical restriction</x:v>
      </x:c>
      <x:c r="N97" s="136" t="str">
        <x:v>Implemented.</x:v>
      </x:c>
      <x:c r="O97" s="136" t="str">
        <x:v>Expose in browse filter UI.</x:v>
      </x:c>
    </x:row>
    <x:row r="98">
      <x:c r="A98" s="135" t="str">
        <x:v>JW-094</x:v>
      </x:c>
      <x:c r="B98" s="135" t="str">
        <x:v>Search &amp; Browse</x:v>
      </x:c>
      <x:c r="C98" s="135" t="str">
        <x:v>Assembly filter</x:v>
      </x:c>
      <x:c r="D98" s="136" t="str">
        <x:v>Local/imported car filtering</x:v>
      </x:c>
      <x:c r="E98" s="136" t="str">
        <x:v>Signed V1</x:v>
      </x:c>
      <x:c r="F98" s="136" t="str">
        <x:v>Completed</x:v>
      </x:c>
      <x:c r="G98" s="137" t="n">
        <x:v>1</x:v>
      </x:c>
      <x:c r="H98" s="136" t="str">
        <x:v>Low</x:v>
      </x:c>
      <x:c r="I98" s="136" t="str">
        <x:v>Stage 3</x:v>
      </x:c>
      <x:c r="J98" s="136" t="str">
        <x:v>Unassigned</x:v>
      </x:c>
      <x:c r="K98" s="136" t="str">
        <x:v>Car facets</x:v>
      </x:c>
      <x:c r="L98" s="136" t="str">
        <x:v>Results accurately match selected assembly.</x:v>
      </x:c>
      <x:c r="M98" s="136" t="str">
        <x:v>Local/imported; combinations</x:v>
      </x:c>
      <x:c r="N98" s="136" t="str">
        <x:v>Implemented in search.</x:v>
      </x:c>
      <x:c r="O98" s="136" t="str">
        <x:v>Expose in browse filter UI.</x:v>
      </x:c>
    </x:row>
    <x:row r="99">
      <x:c r="A99" s="135" t="str">
        <x:v>JW-095</x:v>
      </x:c>
      <x:c r="B99" s="135" t="str">
        <x:v>Search &amp; Browse</x:v>
      </x:c>
      <x:c r="C99" s="135" t="str">
        <x:v>Origin filter</x:v>
      </x:c>
      <x:c r="D99" s="136" t="str">
        <x:v>Filter cars by make country of origin</x:v>
      </x:c>
      <x:c r="E99" s="136" t="str">
        <x:v>Signed V1</x:v>
      </x:c>
      <x:c r="F99" s="136" t="str">
        <x:v>Completed</x:v>
      </x:c>
      <x:c r="G99" s="137" t="n">
        <x:v>1</x:v>
      </x:c>
      <x:c r="H99" s="136" t="str">
        <x:v>Low</x:v>
      </x:c>
      <x:c r="I99" s="136" t="str">
        <x:v>Stage 3</x:v>
      </x:c>
      <x:c r="J99" s="136" t="str">
        <x:v>Unassigned</x:v>
      </x:c>
      <x:c r="K99" s="136" t="str">
        <x:v>Make taxonomy</x:v>
      </x:c>
      <x:c r="L99" s="136" t="str">
        <x:v>Every origin page returns makes from that origin only.</x:v>
      </x:c>
      <x:c r="M99" s="136" t="str">
        <x:v>All supported origins; taxonomy gaps</x:v>
      </x:c>
      <x:c r="N99" s="136" t="str">
        <x:v>Implemented with subquery.</x:v>
      </x:c>
      <x:c r="O99" s="136" t="str">
        <x:v>Validate seed country values.</x:v>
      </x:c>
    </x:row>
    <x:row r="100">
      <x:c r="A100" s="135" t="str">
        <x:v>JW-096</x:v>
      </x:c>
      <x:c r="B100" s="135" t="str">
        <x:v>Search &amp; Browse</x:v>
      </x:c>
      <x:c r="C100" s="135" t="str">
        <x:v>Feature filter</x:v>
      </x:c>
      <x:c r="D100" s="136" t="str">
        <x:v>Require all selected car features</x:v>
      </x:c>
      <x:c r="E100" s="136" t="str">
        <x:v>Signed V1</x:v>
      </x:c>
      <x:c r="F100" s="136" t="str">
        <x:v>Completed</x:v>
      </x:c>
      <x:c r="G100" s="137" t="n">
        <x:v>1</x:v>
      </x:c>
      <x:c r="H100" s="136" t="str">
        <x:v>Medium</x:v>
      </x:c>
      <x:c r="I100" s="136" t="str">
        <x:v>Stage 3</x:v>
      </x:c>
      <x:c r="J100" s="136" t="str">
        <x:v>Unassigned</x:v>
      </x:c>
      <x:c r="K100" s="136" t="str">
        <x:v>Listing feature relation</x:v>
      </x:c>
      <x:c r="L100" s="136" t="str">
        <x:v>Multi-feature filtering uses AND semantics and never 500s.</x:v>
      </x:c>
      <x:c r="M100" s="136" t="str">
        <x:v>Single/multiple features; duplicate features; no match</x:v>
      </x:c>
      <x:c r="N100" s="136" t="str">
        <x:v>Implemented with correlated count query.</x:v>
      </x:c>
      <x:c r="O100" s="136" t="str">
        <x:v>Add database integration tests.</x:v>
      </x:c>
    </x:row>
    <x:row r="101">
      <x:c r="A101" s="135" t="str">
        <x:v>JW-097</x:v>
      </x:c>
      <x:c r="B101" s="135" t="str">
        <x:v>Search &amp; Browse</x:v>
      </x:c>
      <x:c r="C101" s="135" t="str">
        <x:v>Price range filter</x:v>
      </x:c>
      <x:c r="D101" s="136" t="str">
        <x:v>Minimum/maximum price across all verticals</x:v>
      </x:c>
      <x:c r="E101" s="136" t="str">
        <x:v>Signed V1</x:v>
      </x:c>
      <x:c r="F101" s="136" t="str">
        <x:v>Completed</x:v>
      </x:c>
      <x:c r="G101" s="137" t="n">
        <x:v>1</x:v>
      </x:c>
      <x:c r="H101" s="136" t="str">
        <x:v>High</x:v>
      </x:c>
      <x:c r="I101" s="136" t="str">
        <x:v>Stage 3</x:v>
      </x:c>
      <x:c r="J101" s="136" t="str">
        <x:v>Unassigned</x:v>
      </x:c>
      <x:c r="K101" s="136" t="str">
        <x:v>Range parsing</x:v>
      </x:c>
      <x:c r="L101" s="136" t="str">
        <x:v>Open and closed ranges filter accurately and remain noindex.</x:v>
      </x:c>
      <x:c r="M101" s="136" t="str">
        <x:v>Min/max/open/inverted/boundary</x:v>
      </x:c>
      <x:c r="N101" s="136" t="str">
        <x:v>Implemented in search and homepage.</x:v>
      </x:c>
      <x:c r="O101" s="136" t="str">
        <x:v>Add browse UI and DB assertions.</x:v>
      </x:c>
    </x:row>
    <x:row r="102">
      <x:c r="A102" s="135" t="str">
        <x:v>JW-098</x:v>
      </x:c>
      <x:c r="B102" s="135" t="str">
        <x:v>Search &amp; Browse</x:v>
      </x:c>
      <x:c r="C102" s="135" t="str">
        <x:v>Year range filter</x:v>
      </x:c>
      <x:c r="D102" s="136" t="str">
        <x:v>Model year range for cars and bikes</x:v>
      </x:c>
      <x:c r="E102" s="136" t="str">
        <x:v>Signed V1</x:v>
      </x:c>
      <x:c r="F102" s="136" t="str">
        <x:v>Completed</x:v>
      </x:c>
      <x:c r="G102" s="137" t="n">
        <x:v>1</x:v>
      </x:c>
      <x:c r="H102" s="136" t="str">
        <x:v>High</x:v>
      </x:c>
      <x:c r="I102" s="136" t="str">
        <x:v>Stage 3</x:v>
      </x:c>
      <x:c r="J102" s="136" t="str">
        <x:v>Unassigned</x:v>
      </x:c>
      <x:c r="K102" s="136" t="str">
        <x:v>Range parsing</x:v>
      </x:c>
      <x:c r="L102" s="136" t="str">
        <x:v>Results fall within inclusive boundaries.</x:v>
      </x:c>
      <x:c r="M102" s="136" t="str">
        <x:v>Open/closed/inverted/boundary</x:v>
      </x:c>
      <x:c r="N102" s="136" t="str">
        <x:v>Implemented in search and homepage.</x:v>
      </x:c>
      <x:c r="O102" s="136" t="str">
        <x:v>Add browse UI.</x:v>
      </x:c>
    </x:row>
    <x:row r="103">
      <x:c r="A103" s="135" t="str">
        <x:v>JW-099</x:v>
      </x:c>
      <x:c r="B103" s="135" t="str">
        <x:v>Search &amp; Browse</x:v>
      </x:c>
      <x:c r="C103" s="135" t="str">
        <x:v>Mileage range filter</x:v>
      </x:c>
      <x:c r="D103" s="136" t="str">
        <x:v>Mileage range for cars and bikes</x:v>
      </x:c>
      <x:c r="E103" s="136" t="str">
        <x:v>Signed V1</x:v>
      </x:c>
      <x:c r="F103" s="136" t="str">
        <x:v>Completed</x:v>
      </x:c>
      <x:c r="G103" s="137" t="n">
        <x:v>1</x:v>
      </x:c>
      <x:c r="H103" s="136" t="str">
        <x:v>Medium</x:v>
      </x:c>
      <x:c r="I103" s="136" t="str">
        <x:v>Stage 3</x:v>
      </x:c>
      <x:c r="J103" s="136" t="str">
        <x:v>Unassigned</x:v>
      </x:c>
      <x:c r="K103" s="136" t="str">
        <x:v>Range parsing</x:v>
      </x:c>
      <x:c r="L103" s="136" t="str">
        <x:v>Results fall within inclusive mileage boundaries.</x:v>
      </x:c>
      <x:c r="M103" s="136" t="str">
        <x:v>Zero/open/max/boundary</x:v>
      </x:c>
      <x:c r="N103" s="136" t="str">
        <x:v>Backend supports it; no visible browse control.</x:v>
      </x:c>
      <x:c r="O103" s="136" t="str">
        <x:v>Expose in More Filters.</x:v>
      </x:c>
    </x:row>
    <x:row r="104">
      <x:c r="A104" s="135" t="str">
        <x:v>JW-100</x:v>
      </x:c>
      <x:c r="B104" s="135" t="str">
        <x:v>Search &amp; Browse</x:v>
      </x:c>
      <x:c r="C104" s="135" t="str">
        <x:v>Engine capacity filter</x:v>
      </x:c>
      <x:c r="D104" s="136" t="str">
        <x:v>Engine cc range for vehicles</x:v>
      </x:c>
      <x:c r="E104" s="136" t="str">
        <x:v>Signed V1</x:v>
      </x:c>
      <x:c r="F104" s="136" t="str">
        <x:v>Completed</x:v>
      </x:c>
      <x:c r="G104" s="137" t="n">
        <x:v>1</x:v>
      </x:c>
      <x:c r="H104" s="136" t="str">
        <x:v>Low</x:v>
      </x:c>
      <x:c r="I104" s="136" t="str">
        <x:v>Stage 3</x:v>
      </x:c>
      <x:c r="J104" s="136" t="str">
        <x:v>Unassigned</x:v>
      </x:c>
      <x:c r="K104" s="136" t="str">
        <x:v>Range parsing</x:v>
      </x:c>
      <x:c r="L104" s="136" t="str">
        <x:v>Results fall within inclusive engine range.</x:v>
      </x:c>
      <x:c r="M104" s="136" t="str">
        <x:v>Open/closed/boundary</x:v>
      </x:c>
      <x:c r="N104" s="136" t="str">
        <x:v>Backend supports it; no visible browse control.</x:v>
      </x:c>
      <x:c r="O104" s="136" t="str">
        <x:v>Expose where appropriate.</x:v>
      </x:c>
    </x:row>
    <x:row r="105">
      <x:c r="A105" s="135" t="str">
        <x:v>JW-101</x:v>
      </x:c>
      <x:c r="B105" s="135" t="str">
        <x:v>Search &amp; Browse</x:v>
      </x:c>
      <x:c r="C105" s="135" t="str">
        <x:v>Auto-parts category filter</x:v>
      </x:c>
      <x:c r="D105" s="136" t="str">
        <x:v>Filter parts by selected category</x:v>
      </x:c>
      <x:c r="E105" s="136" t="str">
        <x:v>Signed V1</x:v>
      </x:c>
      <x:c r="F105" s="136" t="str">
        <x:v>Completed</x:v>
      </x:c>
      <x:c r="G105" s="137" t="n">
        <x:v>1</x:v>
      </x:c>
      <x:c r="H105" s="136" t="str">
        <x:v>Critical</x:v>
      </x:c>
      <x:c r="I105" s="136" t="str">
        <x:v>Stage 1</x:v>
      </x:c>
      <x:c r="J105" s="136" t="str">
        <x:v>Unassigned</x:v>
      </x:c>
      <x:c r="K105" s="136" t="str">
        <x:v>partDetails join</x:v>
      </x:c>
      <x:c r="L105" s="136" t="str">
        <x:v>Category URLs return only listings in that category.</x:v>
      </x:c>
      <x:c r="M105" s="136" t="str">
        <x:v>Multiple categories; invalid; empty; child category</x:v>
      </x:c>
      <x:c r="N105" s="136" t="str">
        <x:v>Parts category/condition/compatibility filtering and browse filter UI are implemented.</x:v>
      </x:c>
      <x:c r="O105" s="136" t="str">
        <x:v>Retain in final regression and comprehensive browser QA.</x:v>
      </x:c>
    </x:row>
    <x:row r="106">
      <x:c r="A106" s="135" t="str">
        <x:v>JW-102</x:v>
      </x:c>
      <x:c r="B106" s="135" t="str">
        <x:v>Search &amp; Browse</x:v>
      </x:c>
      <x:c r="C106" s="135" t="str">
        <x:v>Auto-parts condition filter</x:v>
      </x:c>
      <x:c r="D106" s="136" t="str">
        <x:v>New/used/refurbished filtering</x:v>
      </x:c>
      <x:c r="E106" s="136" t="str">
        <x:v>Signed V1</x:v>
      </x:c>
      <x:c r="F106" s="136" t="str">
        <x:v>Completed</x:v>
      </x:c>
      <x:c r="G106" s="137" t="n">
        <x:v>1</x:v>
      </x:c>
      <x:c r="H106" s="136" t="str">
        <x:v>Critical</x:v>
      </x:c>
      <x:c r="I106" s="136" t="str">
        <x:v>Stage 1</x:v>
      </x:c>
      <x:c r="J106" s="136" t="str">
        <x:v>Unassigned</x:v>
      </x:c>
      <x:c r="K106" s="136" t="str">
        <x:v>partDetails join</x:v>
      </x:c>
      <x:c r="L106" s="136" t="str">
        <x:v>Condition URLs return only matching parts.</x:v>
      </x:c>
      <x:c r="M106" s="136" t="str">
        <x:v>All conditions; combinations; invalid</x:v>
      </x:c>
      <x:c r="N106" s="136" t="str">
        <x:v>Parts category/condition/compatibility filtering and browse filter UI are implemented.</x:v>
      </x:c>
      <x:c r="O106" s="136" t="str">
        <x:v>Retain in final regression and comprehensive browser QA.</x:v>
      </x:c>
    </x:row>
    <x:row r="107">
      <x:c r="A107" s="135" t="str">
        <x:v>JW-103</x:v>
      </x:c>
      <x:c r="B107" s="135" t="str">
        <x:v>Search &amp; Browse</x:v>
      </x:c>
      <x:c r="C107" s="135" t="str">
        <x:v>Auto-parts compatibility filter</x:v>
      </x:c>
      <x:c r="D107" s="136" t="str">
        <x:v>Filter parts by compatible make/model</x:v>
      </x:c>
      <x:c r="E107" s="136" t="str">
        <x:v>Signed V1</x:v>
      </x:c>
      <x:c r="F107" s="136" t="str">
        <x:v>Completed</x:v>
      </x:c>
      <x:c r="G107" s="137" t="n">
        <x:v>1</x:v>
      </x:c>
      <x:c r="H107" s="136" t="str">
        <x:v>Medium</x:v>
      </x:c>
      <x:c r="I107" s="136" t="str">
        <x:v>Stage 3</x:v>
      </x:c>
      <x:c r="J107" s="136" t="str">
        <x:v>Unassigned</x:v>
      </x:c>
      <x:c r="K107" s="136" t="str">
        <x:v>Part creation data</x:v>
      </x:c>
      <x:c r="L107" s="136" t="str">
        <x:v>Buyer can select compatibility and results include exact/universal parts per approved rule.</x:v>
      </x:c>
      <x:c r="M107" s="136" t="str">
        <x:v>Exact make/model; universal; mismatches</x:v>
      </x:c>
      <x:c r="N107" s="136" t="str">
        <x:v>Parts category/condition/compatibility filtering and browse filter UI are implemented.</x:v>
      </x:c>
      <x:c r="O107" s="136" t="str">
        <x:v>Retain in final regression and comprehensive browser QA.</x:v>
      </x:c>
    </x:row>
    <x:row r="108">
      <x:c r="A108" s="135" t="str">
        <x:v>JW-104</x:v>
      </x:c>
      <x:c r="B108" s="135" t="str">
        <x:v>Search &amp; Browse</x:v>
      </x:c>
      <x:c r="C108" s="135" t="str">
        <x:v>Browse-page filter UI</x:v>
      </x:c>
      <x:c r="D108" s="136" t="str">
        <x:v>Visible desktop/mobile controls for supported filters</x:v>
      </x:c>
      <x:c r="E108" s="136" t="str">
        <x:v>Signed V1</x:v>
      </x:c>
      <x:c r="F108" s="136" t="str">
        <x:v>Completed</x:v>
      </x:c>
      <x:c r="G108" s="137" t="n">
        <x:v>1</x:v>
      </x:c>
      <x:c r="H108" s="136" t="str">
        <x:v>Critical</x:v>
      </x:c>
      <x:c r="I108" s="136" t="str">
        <x:v>Stage 3</x:v>
      </x:c>
      <x:c r="J108" s="136" t="str">
        <x:v>Unassigned</x:v>
      </x:c>
      <x:c r="K108" s="136" t="str">
        <x:v>Correct backend filters</x:v>
      </x:c>
      <x:c r="L108" s="136" t="str">
        <x:v>Users can refine results without manually editing URLs; selected state is visible and clearable.</x:v>
      </x:c>
      <x:c r="M108" s="136" t="str">
        <x:v>Every filter; mobile drawer; back/forward; URL sync</x:v>
      </x:c>
      <x:c r="N108" s="136" t="str">
        <x:v>Parts category/condition/compatibility filtering and browse filter UI are implemented.</x:v>
      </x:c>
      <x:c r="O108" s="136" t="str">
        <x:v>Retain in final regression and comprehensive browser QA.</x:v>
      </x:c>
    </x:row>
    <x:row r="109">
      <x:c r="A109" s="135" t="str">
        <x:v>JW-105</x:v>
      </x:c>
      <x:c r="B109" s="135" t="str">
        <x:v>Search &amp; Browse</x:v>
      </x:c>
      <x:c r="C109" s="135" t="str">
        <x:v>Sorting</x:v>
      </x:c>
      <x:c r="D109" s="136" t="str">
        <x:v>Recent, price, year and mileage ordering</x:v>
      </x:c>
      <x:c r="E109" s="136" t="str">
        <x:v>Signed V1</x:v>
      </x:c>
      <x:c r="F109" s="136" t="str">
        <x:v>Completed</x:v>
      </x:c>
      <x:c r="G109" s="137" t="n">
        <x:v>1</x:v>
      </x:c>
      <x:c r="H109" s="136" t="str">
        <x:v>High</x:v>
      </x:c>
      <x:c r="I109" s="136" t="str">
        <x:v>Stage 3</x:v>
      </x:c>
      <x:c r="J109" s="136" t="str">
        <x:v>Unassigned</x:v>
      </x:c>
      <x:c r="K109" s="136" t="str">
        <x:v>Search query</x:v>
      </x:c>
      <x:c r="L109" s="136" t="str">
        <x:v>All sort modes are stable, correct and canonicalized as noindex variants.</x:v>
      </x:c>
      <x:c r="M109" s="136" t="str">
        <x:v>Each sort; equal values; invalid sort</x:v>
      </x:c>
      <x:c r="N109" s="136" t="str">
        <x:v>SortSelect and backend ordering exist.</x:v>
      </x:c>
      <x:c r="O109" s="136" t="str">
        <x:v>Validate invalid sort handling and add tests.</x:v>
      </x:c>
    </x:row>
    <x:row r="110">
      <x:c r="A110" s="135" t="str">
        <x:v>JW-106</x:v>
      </x:c>
      <x:c r="B110" s="135" t="str">
        <x:v>Search &amp; Browse</x:v>
      </x:c>
      <x:c r="C110" s="135" t="str">
        <x:v>Pagination</x:v>
      </x:c>
      <x:c r="D110" s="136" t="str">
        <x:v>25 results per page with stable navigation</x:v>
      </x:c>
      <x:c r="E110" s="136" t="str">
        <x:v>Signed V1</x:v>
      </x:c>
      <x:c r="F110" s="136" t="str">
        <x:v>Completed</x:v>
      </x:c>
      <x:c r="G110" s="137" t="n">
        <x:v>1</x:v>
      </x:c>
      <x:c r="H110" s="136" t="str">
        <x:v>High</x:v>
      </x:c>
      <x:c r="I110" s="136" t="str">
        <x:v>Stage 3</x:v>
      </x:c>
      <x:c r="J110" s="136" t="str">
        <x:v>Unassigned</x:v>
      </x:c>
      <x:c r="K110" s="136" t="str">
        <x:v>Search total</x:v>
      </x:c>
      <x:c r="L110" s="136" t="str">
        <x:v>Correct page count, boundaries, query preservation and no duplicate/missing records.</x:v>
      </x:c>
      <x:c r="M110" s="136" t="str">
        <x:v>Page 1/middle/last/out-of-range; stable order</x:v>
      </x:c>
      <x:c r="N110" s="136" t="str">
        <x:v>Pagination component and count query exist.</x:v>
      </x:c>
      <x:c r="O110" s="136" t="str">
        <x:v>Add large dataset integration tests.</x:v>
      </x:c>
    </x:row>
    <x:row r="111">
      <x:c r="A111" s="135" t="str">
        <x:v>JW-107</x:v>
      </x:c>
      <x:c r="B111" s="135" t="str">
        <x:v>Search &amp; Browse</x:v>
      </x:c>
      <x:c r="C111" s="135" t="str">
        <x:v>Empty/loading/error states</x:v>
      </x:c>
      <x:c r="D111" s="136" t="str">
        <x:v>Clear states for no results and transient failures</x:v>
      </x:c>
      <x:c r="E111" s="136" t="str">
        <x:v>Signed V1</x:v>
      </x:c>
      <x:c r="F111" s="136" t="str">
        <x:v>Partially Implemented</x:v>
      </x:c>
      <x:c r="G111" s="137" t="n">
        <x:v>0.55</x:v>
      </x:c>
      <x:c r="H111" s="136" t="str">
        <x:v>High</x:v>
      </x:c>
      <x:c r="I111" s="136" t="str">
        <x:v>Stage 3</x:v>
      </x:c>
      <x:c r="J111" s="136" t="str">
        <x:v>Unassigned</x:v>
      </x:c>
      <x:c r="K111" s="136" t="str">
        <x:v>Browse UI</x:v>
      </x:c>
      <x:c r="L111" s="136" t="str">
        <x:v>No-result state is actionable; loading and recoverable errors do not show framework crashes.</x:v>
      </x:c>
      <x:c r="M111" s="136" t="str">
        <x:v>Empty DB; query failure; slow response</x:v>
      </x:c>
      <x:c r="N111" s="136" t="str">
        <x:v>Empty state exists; explicit loading/error boundaries are absent.</x:v>
      </x:c>
      <x:c r="O111" s="136" t="str">
        <x:v>Add route-level loading and error UI.</x:v>
      </x:c>
    </x:row>
    <x:row r="112">
      <x:c r="A112" s="135" t="str">
        <x:v>JW-108</x:v>
      </x:c>
      <x:c r="B112" s="135" t="str">
        <x:v>Search &amp; Browse</x:v>
      </x:c>
      <x:c r="C112" s="135" t="str">
        <x:v>Search performance</x:v>
      </x:c>
      <x:c r="D112" s="136" t="str">
        <x:v>Indexed PostgreSQL queries for 20,000+ listings</x:v>
      </x:c>
      <x:c r="E112" s="136" t="str">
        <x:v>Signed V1</x:v>
      </x:c>
      <x:c r="F112" s="136" t="str">
        <x:v>Partially Implemented</x:v>
      </x:c>
      <x:c r="G112" s="137" t="n">
        <x:v>0.6</x:v>
      </x:c>
      <x:c r="H112" s="136" t="str">
        <x:v>Critical</x:v>
      </x:c>
      <x:c r="I112" s="136" t="str">
        <x:v>Stage 6</x:v>
      </x:c>
      <x:c r="J112" s="136" t="str">
        <x:v>Unassigned</x:v>
      </x:c>
      <x:c r="K112" s="136" t="str">
        <x:v>Production-like DB</x:v>
      </x:c>
      <x:c r="L112" s="136" t="str">
        <x:v>P95 response time meets agreed target under representative filters and concurrency.</x:v>
      </x:c>
      <x:c r="M112" s="136" t="str">
        <x:v>EXPLAIN ANALYZE; 20k listings; 500 concurrent users</x:v>
      </x:c>
      <x:c r="N112" s="136" t="str">
        <x:v>Indexes are designed; no load/query-plan test has been run.</x:v>
      </x:c>
      <x:c r="O112" s="136" t="str">
        <x:v>Seed production-like volume and load test.</x:v>
      </x:c>
    </x:row>
    <x:row r="113">
      <x:c r="A113" s="135" t="str">
        <x:v>JW-109</x:v>
      </x:c>
      <x:c r="B113" s="135" t="str">
        <x:v>Listing Detail &amp; Contact</x:v>
      </x:c>
      <x:c r="C113" s="135" t="str">
        <x:v>Unified detail pages</x:v>
      </x:c>
      <x:c r="D113" s="136" t="str">
        <x:v>Cars, bikes and parts render category-specific details</x:v>
      </x:c>
      <x:c r="E113" s="136" t="str">
        <x:v>Signed V1</x:v>
      </x:c>
      <x:c r="F113" s="136" t="str">
        <x:v>Completed</x:v>
      </x:c>
      <x:c r="G113" s="137" t="n">
        <x:v>1</x:v>
      </x:c>
      <x:c r="H113" s="136" t="str">
        <x:v>Critical</x:v>
      </x:c>
      <x:c r="I113" s="136" t="str">
        <x:v>Stage 3</x:v>
      </x:c>
      <x:c r="J113" s="136" t="str">
        <x:v>Unassigned</x:v>
      </x:c>
      <x:c r="K113" s="136" t="str">
        <x:v>Listing data</x:v>
      </x:c>
      <x:c r="L113" s="136" t="str">
        <x:v>Correct fields, title, price, location and images render for every vertical.</x:v>
      </x:c>
      <x:c r="M113" s="136" t="str">
        <x:v>Representative listings; missing optional fields; mobile</x:v>
      </x:c>
      <x:c r="N113" s="136" t="str">
        <x:v>Shared detail query and component exist.</x:v>
      </x:c>
      <x:c r="O113" s="136" t="str">
        <x:v>Add cross-vertical E2E coverage.</x:v>
      </x:c>
    </x:row>
    <x:row r="114">
      <x:c r="A114" s="135" t="str">
        <x:v>JW-110</x:v>
      </x:c>
      <x:c r="B114" s="135" t="str">
        <x:v>Listing Detail &amp; Contact</x:v>
      </x:c>
      <x:c r="C114" s="135" t="str">
        <x:v>Image gallery</x:v>
      </x:c>
      <x:c r="D114" s="136" t="str">
        <x:v>Primary image and horizontally scrollable thumbnails</x:v>
      </x:c>
      <x:c r="E114" s="136" t="str">
        <x:v>Signed V1</x:v>
      </x:c>
      <x:c r="F114" s="136" t="str">
        <x:v>Completed</x:v>
      </x:c>
      <x:c r="G114" s="137" t="n">
        <x:v>1</x:v>
      </x:c>
      <x:c r="H114" s="136" t="str">
        <x:v>High</x:v>
      </x:c>
      <x:c r="I114" s="136" t="str">
        <x:v>Stage 3</x:v>
      </x:c>
      <x:c r="J114" s="136" t="str">
        <x:v>Unassigned</x:v>
      </x:c>
      <x:c r="K114" s="136" t="str">
        <x:v>Listing images</x:v>
      </x:c>
      <x:c r="L114" s="136" t="str">
        <x:v>First image is prioritized and thumbnails load without layout shift.</x:v>
      </x:c>
      <x:c r="M114" s="136" t="str">
        <x:v>1/2/12/30 images; missing images; mobile</x:v>
      </x:c>
      <x:c r="N114" s="136" t="str">
        <x:v>Gallery exists.</x:v>
      </x:c>
      <x:c r="O114" s="136" t="str">
        <x:v>Add interactive primary-image selection if required; currently thumbnails are display-only.</x:v>
      </x:c>
    </x:row>
    <x:row r="115">
      <x:c r="A115" s="135" t="str">
        <x:v>JW-111</x:v>
      </x:c>
      <x:c r="B115" s="135" t="str">
        <x:v>Listing Detail &amp; Contact</x:v>
      </x:c>
      <x:c r="C115" s="135" t="str">
        <x:v>Specifications</x:v>
      </x:c>
      <x:c r="D115" s="136" t="str">
        <x:v>Relevant vehicle/part specifications and features</x:v>
      </x:c>
      <x:c r="E115" s="136" t="str">
        <x:v>Signed V1</x:v>
      </x:c>
      <x:c r="F115" s="136" t="str">
        <x:v>Completed</x:v>
      </x:c>
      <x:c r="G115" s="137" t="n">
        <x:v>1</x:v>
      </x:c>
      <x:c r="H115" s="136" t="str">
        <x:v>High</x:v>
      </x:c>
      <x:c r="I115" s="136" t="str">
        <x:v>Stage 3</x:v>
      </x:c>
      <x:c r="J115" s="136" t="str">
        <x:v>Unassigned</x:v>
      </x:c>
      <x:c r="K115" s="136" t="str">
        <x:v>Detail data</x:v>
      </x:c>
      <x:c r="L115" s="136" t="str">
        <x:v>Only applicable fields render with understandable fallbacks.</x:v>
      </x:c>
      <x:c r="M115" s="136" t="str">
        <x:v>All optional fields; each vertical</x:v>
      </x:c>
      <x:c r="N115" s="136" t="str">
        <x:v>Implemented.</x:v>
      </x:c>
      <x:c r="O115" s="136" t="str">
        <x:v>Reconcile with completed creation fields.</x:v>
      </x:c>
    </x:row>
    <x:row r="116">
      <x:c r="A116" s="135" t="str">
        <x:v>JW-112</x:v>
      </x:c>
      <x:c r="B116" s="135" t="str">
        <x:v>Listing Detail &amp; Contact</x:v>
      </x:c>
      <x:c r="C116" s="135" t="str">
        <x:v>Similar listings</x:v>
      </x:c>
      <x:c r="D116" s="136" t="str">
        <x:v>Same-model active listings prioritized by city and price</x:v>
      </x:c>
      <x:c r="E116" s="136" t="str">
        <x:v>Signed V1</x:v>
      </x:c>
      <x:c r="F116" s="136" t="str">
        <x:v>Completed</x:v>
      </x:c>
      <x:c r="G116" s="137" t="n">
        <x:v>1</x:v>
      </x:c>
      <x:c r="H116" s="136" t="str">
        <x:v>Medium</x:v>
      </x:c>
      <x:c r="I116" s="136" t="str">
        <x:v>Stage 3</x:v>
      </x:c>
      <x:c r="J116" s="136" t="str">
        <x:v>Unassigned</x:v>
      </x:c>
      <x:c r="K116" s="136" t="str">
        <x:v>Model taxonomy</x:v>
      </x:c>
      <x:c r="L116" s="136" t="str">
        <x:v>Current listing is excluded; only active relevant ads appear.</x:v>
      </x:c>
      <x:c r="M116" s="136" t="str">
        <x:v>No model; no similar; same city/price ordering</x:v>
      </x:c>
      <x:c r="N116" s="136" t="str">
        <x:v>Implemented for model-based listings.</x:v>
      </x:c>
      <x:c r="O116" s="136" t="str">
        <x:v>Define parts similarity later if needed.</x:v>
      </x:c>
    </x:row>
    <x:row r="117">
      <x:c r="A117" s="135" t="str">
        <x:v>JW-113</x:v>
      </x:c>
      <x:c r="B117" s="135" t="str">
        <x:v>Listing Detail &amp; Contact</x:v>
      </x:c>
      <x:c r="C117" s="135" t="str">
        <x:v>Phone reveal</x:v>
      </x:c>
      <x:c r="D117" s="136" t="str">
        <x:v>Masked number revealed on deliberate buyer action</x:v>
      </x:c>
      <x:c r="E117" s="136" t="str">
        <x:v>Signed V1</x:v>
      </x:c>
      <x:c r="F117" s="136" t="str">
        <x:v>Completed</x:v>
      </x:c>
      <x:c r="G117" s="137" t="n">
        <x:v>1</x:v>
      </x:c>
      <x:c r="H117" s="136" t="str">
        <x:v>Critical</x:v>
      </x:c>
      <x:c r="I117" s="136" t="str">
        <x:v>Stage 3</x:v>
      </x:c>
      <x:c r="J117" s="136" t="str">
        <x:v>Unassigned</x:v>
      </x:c>
      <x:c r="K117" s="136" t="str">
        <x:v>Active listing and seller</x:v>
      </x:c>
      <x:c r="L117" s="136" t="str">
        <x:v>Only active listing numbers are revealed and tel link works.</x:v>
      </x:c>
      <x:c r="M117" s="136" t="str">
        <x:v>Active/inactive/missing; anonymous/auth; phone formats</x:v>
      </x:c>
      <x:c r="N117" s="136" t="str">
        <x:v>Implemented with lead logging.</x:v>
      </x:c>
      <x:c r="O117" s="136" t="str">
        <x:v>Add rate limiting/anti-scraping.</x:v>
      </x:c>
    </x:row>
    <x:row r="118">
      <x:c r="A118" s="135" t="str">
        <x:v>JW-114</x:v>
      </x:c>
      <x:c r="B118" s="135" t="str">
        <x:v>Listing Detail &amp; Contact</x:v>
      </x:c>
      <x:c r="C118" s="135" t="str">
        <x:v>Phone lead analytics</x:v>
      </x:c>
      <x:c r="D118" s="136" t="str">
        <x:v>Record reveal and increment listing lead count</x:v>
      </x:c>
      <x:c r="E118" s="136" t="str">
        <x:v>Signed V1</x:v>
      </x:c>
      <x:c r="F118" s="136" t="str">
        <x:v>Completed</x:v>
      </x:c>
      <x:c r="G118" s="137" t="n">
        <x:v>1</x:v>
      </x:c>
      <x:c r="H118" s="136" t="str">
        <x:v>High</x:v>
      </x:c>
      <x:c r="I118" s="136" t="str">
        <x:v>Stage 3</x:v>
      </x:c>
      <x:c r="J118" s="136" t="str">
        <x:v>Unassigned</x:v>
      </x:c>
      <x:c r="K118" s="136" t="str">
        <x:v>Lead events</x:v>
      </x:c>
      <x:c r="L118" s="136" t="str">
        <x:v>Analytics failure never blocks contact; dashboard count updates.</x:v>
      </x:c>
      <x:c r="M118" s="136" t="str">
        <x:v>Insert failure; repeat clicks; concurrency</x:v>
      </x:c>
      <x:c r="N118" s="136" t="str">
        <x:v>Implemented transaction with failure isolation.</x:v>
      </x:c>
      <x:c r="O118" s="136" t="str">
        <x:v>Define deduplication policy and test.</x:v>
      </x:c>
    </x:row>
    <x:row r="119">
      <x:c r="A119" s="135" t="str">
        <x:v>JW-115</x:v>
      </x:c>
      <x:c r="B119" s="135" t="str">
        <x:v>Listing Detail &amp; Contact</x:v>
      </x:c>
      <x:c r="C119" s="135" t="str">
        <x:v>WhatsApp seller action</x:v>
      </x:c>
      <x:c r="D119" s="136" t="str">
        <x:v>Open direct WhatsApp contact and record click</x:v>
      </x:c>
      <x:c r="E119" s="136" t="str">
        <x:v>Signed V1</x:v>
      </x:c>
      <x:c r="F119" s="136" t="str">
        <x:v>Completed</x:v>
      </x:c>
      <x:c r="G119" s="137" t="n">
        <x:v>1</x:v>
      </x:c>
      <x:c r="H119" s="136" t="str">
        <x:v>High</x:v>
      </x:c>
      <x:c r="I119" s="136" t="str">
        <x:v>Stage 3</x:v>
      </x:c>
      <x:c r="J119" s="136" t="str">
        <x:v>Unassigned</x:v>
      </x:c>
      <x:c r="K119" s="136" t="str">
        <x:v>Approved seller phone/WhatsApp</x:v>
      </x:c>
      <x:c r="L119" s="136" t="str">
        <x:v>Action opens a valid wa.me link for active listings and records a lead event.</x:v>
      </x:c>
      <x:c r="M119" s="136" t="str">
        <x:v>Phone normalization; active/inactive; mobile/desktop</x:v>
      </x:c>
      <x:c r="N119" s="136" t="str">
        <x:v>Contact actions and inactive-listing contact restrictions are implemented in current detail routes.</x:v>
      </x:c>
      <x:c r="O119" s="136" t="str">
        <x:v>Retain in final regression and comprehensive browser QA.</x:v>
      </x:c>
    </x:row>
    <x:row r="120">
      <x:c r="A120" s="135" t="str">
        <x:v>JW-116</x:v>
      </x:c>
      <x:c r="B120" s="135" t="str">
        <x:v>Listing Detail &amp; Contact</x:v>
      </x:c>
      <x:c r="C120" s="135" t="str">
        <x:v>Dealer contact/profile link</x:v>
      </x:c>
      <x:c r="D120" s="136" t="str">
        <x:v>Show dealer identity and inventory link</x:v>
      </x:c>
      <x:c r="E120" s="136" t="str">
        <x:v>Signed V1</x:v>
      </x:c>
      <x:c r="F120" s="136" t="str">
        <x:v>Completed</x:v>
      </x:c>
      <x:c r="G120" s="137" t="n">
        <x:v>1</x:v>
      </x:c>
      <x:c r="H120" s="136" t="str">
        <x:v>Medium</x:v>
      </x:c>
      <x:c r="I120" s="136" t="str">
        <x:v>Stage 3</x:v>
      </x:c>
      <x:c r="J120" s="136" t="str">
        <x:v>Unassigned</x:v>
      </x:c>
      <x:c r="K120" s="136" t="str">
        <x:v>Dealer relation</x:v>
      </x:c>
      <x:c r="L120" s="136" t="str">
        <x:v>Dealer listing links to correct storefront; private sellers remain clearly labeled.</x:v>
      </x:c>
      <x:c r="M120" s="136" t="str">
        <x:v>Dealer/private; missing dealer; unverified badge</x:v>
      </x:c>
      <x:c r="N120" s="136" t="str">
        <x:v>Implemented.</x:v>
      </x:c>
      <x:c r="O120" s="136" t="str">
        <x:v>Add dealer-profile click tracking if required.</x:v>
      </x:c>
    </x:row>
    <x:row r="121">
      <x:c r="A121" s="135" t="str">
        <x:v>JW-117</x:v>
      </x:c>
      <x:c r="B121" s="135" t="str">
        <x:v>Listing Detail &amp; Contact</x:v>
      </x:c>
      <x:c r="C121" s="135" t="str">
        <x:v>Inspection link</x:v>
      </x:c>
      <x:c r="D121" s="136" t="str">
        <x:v>Pre-fill listing ID in inspection request</x:v>
      </x:c>
      <x:c r="E121" s="136" t="str">
        <x:v>Signed V1</x:v>
      </x:c>
      <x:c r="F121" s="136" t="str">
        <x:v>Completed</x:v>
      </x:c>
      <x:c r="G121" s="137" t="n">
        <x:v>1</x:v>
      </x:c>
      <x:c r="H121" s="136" t="str">
        <x:v>Medium</x:v>
      </x:c>
      <x:c r="I121" s="136" t="str">
        <x:v>Stage 5</x:v>
      </x:c>
      <x:c r="J121" s="136" t="str">
        <x:v>Unassigned</x:v>
      </x:c>
      <x:c r="K121" s="136" t="str">
        <x:v>Inspection route</x:v>
      </x:c>
      <x:c r="L121" s="136" t="str">
        <x:v>Car detail opens inspection form tied to the correct listing.</x:v>
      </x:c>
      <x:c r="M121" s="136" t="str">
        <x:v>Valid/invalid listing ID; non-car listing</x:v>
      </x:c>
      <x:c r="N121" s="136" t="str">
        <x:v>Implemented for cars.</x:v>
      </x:c>
      <x:c r="O121" s="136" t="str">
        <x:v>Validate listing ownership/status in inspection action.</x:v>
      </x:c>
    </x:row>
    <x:row r="122">
      <x:c r="A122" s="135" t="str">
        <x:v>JW-118</x:v>
      </x:c>
      <x:c r="B122" s="135" t="str">
        <x:v>Listing Detail &amp; Contact</x:v>
      </x:c>
      <x:c r="C122" s="135" t="str">
        <x:v>View counting</x:v>
      </x:c>
      <x:c r="D122" s="136" t="str">
        <x:v>Increment listing view after response streaming</x:v>
      </x:c>
      <x:c r="E122" s="136" t="str">
        <x:v>Signed V1</x:v>
      </x:c>
      <x:c r="F122" s="136" t="str">
        <x:v>Partially Implemented</x:v>
      </x:c>
      <x:c r="G122" s="137" t="n">
        <x:v>0.65</x:v>
      </x:c>
      <x:c r="H122" s="136" t="str">
        <x:v>Medium</x:v>
      </x:c>
      <x:c r="I122" s="136" t="str">
        <x:v>Stage 3</x:v>
      </x:c>
      <x:c r="J122" s="136" t="str">
        <x:v>Unassigned</x:v>
      </x:c>
      <x:c r="K122" s="136" t="str">
        <x:v>Database</x:v>
      </x:c>
      <x:c r="L122" s="136" t="str">
        <x:v>Human views are counted consistently without blocking response or inflating from owner/bots beyond approved rules.</x:v>
      </x:c>
      <x:c r="M122" s="136" t="str">
        <x:v>Repeated/bot/owner; DB failure; concurrency</x:v>
      </x:c>
      <x:c r="N122" s="136" t="str">
        <x:v>Basic counter exists and explicitly counts crawler hits.</x:v>
      </x:c>
      <x:c r="O122" s="136" t="str">
        <x:v>Define view policy and use daily unique aggregation if needed.</x:v>
      </x:c>
    </x:row>
    <x:row r="123">
      <x:c r="A123" s="135" t="str">
        <x:v>JW-119</x:v>
      </x:c>
      <x:c r="B123" s="135" t="str">
        <x:v>Listing Detail &amp; Contact</x:v>
      </x:c>
      <x:c r="C123" s="135" t="str">
        <x:v>Inactive contact restriction</x:v>
      </x:c>
      <x:c r="D123" s="136" t="str">
        <x:v>Disable contact actions for non-active listings</x:v>
      </x:c>
      <x:c r="E123" s="136" t="str">
        <x:v>Signed V1</x:v>
      </x:c>
      <x:c r="F123" s="136" t="str">
        <x:v>Completed</x:v>
      </x:c>
      <x:c r="G123" s="137" t="n">
        <x:v>1</x:v>
      </x:c>
      <x:c r="H123" s="136" t="str">
        <x:v>Critical</x:v>
      </x:c>
      <x:c r="I123" s="136" t="str">
        <x:v>Stage 1</x:v>
      </x:c>
      <x:c r="J123" s="136" t="str">
        <x:v>Unassigned</x:v>
      </x:c>
      <x:c r="K123" s="136" t="str">
        <x:v>Inactive visibility guard</x:v>
      </x:c>
      <x:c r="L123" s="136" t="str">
        <x:v>No number/WhatsApp/inspection action is available on private/removed states.</x:v>
      </x:c>
      <x:c r="M123" s="136" t="str">
        <x:v>Each inactive status; direct action invocation</x:v>
      </x:c>
      <x:c r="N123" s="136" t="str">
        <x:v>Contact actions and inactive-listing contact restrictions are implemented in current detail routes.</x:v>
      </x:c>
      <x:c r="O123" s="136" t="str">
        <x:v>Retain in final regression and comprehensive browser QA.</x:v>
      </x:c>
    </x:row>
    <x:row r="124">
      <x:c r="A124" s="135" t="str">
        <x:v>JW-120</x:v>
      </x:c>
      <x:c r="B124" s="135" t="str">
        <x:v>Buyer Features</x:v>
      </x:c>
      <x:c r="C124" s="135" t="str">
        <x:v>Favourites persistence</x:v>
      </x:c>
      <x:c r="D124" s="136" t="str">
        <x:v>Save/unsave listing per authenticated user</x:v>
      </x:c>
      <x:c r="E124" s="136" t="str">
        <x:v>Signed V1</x:v>
      </x:c>
      <x:c r="F124" s="136" t="str">
        <x:v>Completed</x:v>
      </x:c>
      <x:c r="G124" s="137" t="n">
        <x:v>1</x:v>
      </x:c>
      <x:c r="H124" s="136" t="str">
        <x:v>High</x:v>
      </x:c>
      <x:c r="I124" s="136" t="str">
        <x:v>Stage 3</x:v>
      </x:c>
      <x:c r="J124" s="136" t="str">
        <x:v>Unassigned</x:v>
      </x:c>
      <x:c r="K124" s="136" t="str">
        <x:v>saved_listings table</x:v>
      </x:c>
      <x:c r="L124" s="136" t="str">
        <x:v>Save is idempotent, owner-specific and rejects unavailable listings.</x:v>
      </x:c>
      <x:c r="M124" s="136" t="str">
        <x:v>Add/remove/duplicate; auth; removed listing</x:v>
      </x:c>
      <x:c r="N124" s="136" t="str">
        <x:v>Buyer discovery package implements favourites, recently viewed, comparison and saved-search management.</x:v>
      </x:c>
      <x:c r="O124" s="136" t="str">
        <x:v>Retain in final regression and comprehensive browser QA.</x:v>
      </x:c>
    </x:row>
    <x:row r="125">
      <x:c r="A125" s="135" t="str">
        <x:v>JW-121</x:v>
      </x:c>
      <x:c r="B125" s="135" t="str">
        <x:v>Buyer Features</x:v>
      </x:c>
      <x:c r="C125" s="135" t="str">
        <x:v>Favourite controls</x:v>
      </x:c>
      <x:c r="D125" s="136" t="str">
        <x:v>Heart action on cards and detail pages</x:v>
      </x:c>
      <x:c r="E125" s="136" t="str">
        <x:v>Signed V1</x:v>
      </x:c>
      <x:c r="F125" s="136" t="str">
        <x:v>Completed</x:v>
      </x:c>
      <x:c r="G125" s="137" t="n">
        <x:v>1</x:v>
      </x:c>
      <x:c r="H125" s="136" t="str">
        <x:v>High</x:v>
      </x:c>
      <x:c r="I125" s="136" t="str">
        <x:v>Stage 3</x:v>
      </x:c>
      <x:c r="J125" s="136" t="str">
        <x:v>Unassigned</x:v>
      </x:c>
      <x:c r="K125" s="136" t="str">
        <x:v>Favourites persistence</x:v>
      </x:c>
      <x:c r="L125" s="136" t="str">
        <x:v>Control reflects saved state, works by keyboard and handles login redirect/error.</x:v>
      </x:c>
      <x:c r="M125" s="136" t="str">
        <x:v>Card/detail; signed-out/in; optimistic failure</x:v>
      </x:c>
      <x:c r="N125" s="136" t="str">
        <x:v>Buyer discovery package implements favourites, recently viewed, comparison and saved-search management.</x:v>
      </x:c>
      <x:c r="O125" s="136" t="str">
        <x:v>Retain in final regression and comprehensive browser QA.</x:v>
      </x:c>
    </x:row>
    <x:row r="126">
      <x:c r="A126" s="135" t="str">
        <x:v>JW-122</x:v>
      </x:c>
      <x:c r="B126" s="135" t="str">
        <x:v>Buyer Features</x:v>
      </x:c>
      <x:c r="C126" s="135" t="str">
        <x:v>Saved listings page</x:v>
      </x:c>
      <x:c r="D126" s="136" t="str">
        <x:v>Account page listing favourites</x:v>
      </x:c>
      <x:c r="E126" s="136" t="str">
        <x:v>Signed V1</x:v>
      </x:c>
      <x:c r="F126" s="136" t="str">
        <x:v>Completed</x:v>
      </x:c>
      <x:c r="G126" s="137" t="n">
        <x:v>1</x:v>
      </x:c>
      <x:c r="H126" s="136" t="str">
        <x:v>Medium</x:v>
      </x:c>
      <x:c r="I126" s="136" t="str">
        <x:v>Stage 3</x:v>
      </x:c>
      <x:c r="J126" s="136" t="str">
        <x:v>Unassigned</x:v>
      </x:c>
      <x:c r="K126" s="136" t="str">
        <x:v>Favourites persistence</x:v>
      </x:c>
      <x:c r="L126" s="136" t="str">
        <x:v>Shows current saved listings, removes unavailable items appropriately and supports empty state.</x:v>
      </x:c>
      <x:c r="M126" s="136" t="str">
        <x:v>Empty/populated/stale; pagination</x:v>
      </x:c>
      <x:c r="N126" s="136" t="str">
        <x:v>Buyer discovery package implements favourites, recently viewed, comparison and saved-search management.</x:v>
      </x:c>
      <x:c r="O126" s="136" t="str">
        <x:v>Retain in final regression and comprehensive browser QA.</x:v>
      </x:c>
    </x:row>
    <x:row r="127">
      <x:c r="A127" s="135" t="str">
        <x:v>JW-123</x:v>
      </x:c>
      <x:c r="B127" s="135" t="str">
        <x:v>Buyer Features</x:v>
      </x:c>
      <x:c r="C127" s="135" t="str">
        <x:v>Recently viewed persistence</x:v>
      </x:c>
      <x:c r="D127" s="136" t="str">
        <x:v>Track recent listing IDs for anonymous and signed-in visitors</x:v>
      </x:c>
      <x:c r="E127" s="136" t="str">
        <x:v>Signed V1</x:v>
      </x:c>
      <x:c r="F127" s="136" t="str">
        <x:v>Completed</x:v>
      </x:c>
      <x:c r="G127" s="137" t="n">
        <x:v>1</x:v>
      </x:c>
      <x:c r="H127" s="136" t="str">
        <x:v>Medium</x:v>
      </x:c>
      <x:c r="I127" s="136" t="str">
        <x:v>Stage 3</x:v>
      </x:c>
      <x:c r="J127" s="136" t="str">
        <x:v>Unassigned</x:v>
      </x:c>
      <x:c r="K127" s="136" t="str">
        <x:v>Privacy/retention design</x:v>
      </x:c>
      <x:c r="L127" s="136" t="str">
        <x:v>History is bounded, ordered, consent-compliant and excludes inaccessible listings.</x:v>
      </x:c>
      <x:c r="M127" s="136" t="str">
        <x:v>Anonymous/auth merge; stale/removed; limit</x:v>
      </x:c>
      <x:c r="N127" s="136" t="str">
        <x:v>Buyer discovery package implements favourites, recently viewed, comparison and saved-search management.</x:v>
      </x:c>
      <x:c r="O127" s="136" t="str">
        <x:v>Retain in final regression and comprehensive browser QA.</x:v>
      </x:c>
    </x:row>
    <x:row r="128">
      <x:c r="A128" s="135" t="str">
        <x:v>JW-124</x:v>
      </x:c>
      <x:c r="B128" s="135" t="str">
        <x:v>Buyer Features</x:v>
      </x:c>
      <x:c r="C128" s="135" t="str">
        <x:v>Recently viewed UI</x:v>
      </x:c>
      <x:c r="D128" s="136" t="str">
        <x:v>Conditional homepage/detail row</x:v>
      </x:c>
      <x:c r="E128" s="136" t="str">
        <x:v>Signed V1</x:v>
      </x:c>
      <x:c r="F128" s="136" t="str">
        <x:v>Completed</x:v>
      </x:c>
      <x:c r="G128" s="137" t="n">
        <x:v>1</x:v>
      </x:c>
      <x:c r="H128" s="136" t="str">
        <x:v>Medium</x:v>
      </x:c>
      <x:c r="I128" s="136" t="str">
        <x:v>Stage 3</x:v>
      </x:c>
      <x:c r="J128" s="136" t="str">
        <x:v>Unassigned</x:v>
      </x:c>
      <x:c r="K128" s="136" t="str">
        <x:v>Recently viewed persistence</x:v>
      </x:c>
      <x:c r="L128" s="136" t="str">
        <x:v>Section hides for new users and renders compact valid cards when populated.</x:v>
      </x:c>
      <x:c r="M128" s="136" t="str">
        <x:v>Empty/populated/mobile; stale data</x:v>
      </x:c>
      <x:c r="N128" s="136" t="str">
        <x:v>Buyer discovery package implements favourites, recently viewed, comparison and saved-search management.</x:v>
      </x:c>
      <x:c r="O128" s="136" t="str">
        <x:v>Retain in final regression and comprehensive browser QA.</x:v>
      </x:c>
    </x:row>
    <x:row r="129">
      <x:c r="A129" s="135" t="str">
        <x:v>JW-125</x:v>
      </x:c>
      <x:c r="B129" s="135" t="str">
        <x:v>Buyer Features</x:v>
      </x:c>
      <x:c r="C129" s="135" t="str">
        <x:v>Vehicle comparison selection</x:v>
      </x:c>
      <x:c r="D129" s="136" t="str">
        <x:v>Add/remove 2-3 compatible vehicle listings</x:v>
      </x:c>
      <x:c r="E129" s="136" t="str">
        <x:v>Signed V1</x:v>
      </x:c>
      <x:c r="F129" s="136" t="str">
        <x:v>Completed</x:v>
      </x:c>
      <x:c r="G129" s="137" t="n">
        <x:v>1</x:v>
      </x:c>
      <x:c r="H129" s="136" t="str">
        <x:v>High</x:v>
      </x:c>
      <x:c r="I129" s="136" t="str">
        <x:v>Stage 3</x:v>
      </x:c>
      <x:c r="J129" s="136" t="str">
        <x:v>Unassigned</x:v>
      </x:c>
      <x:c r="K129" s="136" t="str">
        <x:v>Comparison rules</x:v>
      </x:c>
      <x:c r="L129" s="136" t="str">
        <x:v>Only comparable listings are selected; limit and persistence are clear.</x:v>
      </x:c>
      <x:c r="M129" s="136" t="str">
        <x:v>2/3/4 items; cross-vertical; removed listing</x:v>
      </x:c>
      <x:c r="N129" s="136" t="str">
        <x:v>Buyer discovery package implements favourites, recently viewed, comparison and saved-search management.</x:v>
      </x:c>
      <x:c r="O129" s="136" t="str">
        <x:v>Retain in final regression and comprehensive browser QA.</x:v>
      </x:c>
    </x:row>
    <x:row r="130">
      <x:c r="A130" s="135" t="str">
        <x:v>JW-126</x:v>
      </x:c>
      <x:c r="B130" s="135" t="str">
        <x:v>Buyer Features</x:v>
      </x:c>
      <x:c r="C130" s="135" t="str">
        <x:v>Comparison page</x:v>
      </x:c>
      <x:c r="D130" s="136" t="str">
        <x:v>Side-by-side specs for 2-3 listings</x:v>
      </x:c>
      <x:c r="E130" s="136" t="str">
        <x:v>Signed V1</x:v>
      </x:c>
      <x:c r="F130" s="136" t="str">
        <x:v>Completed</x:v>
      </x:c>
      <x:c r="G130" s="137" t="n">
        <x:v>1</x:v>
      </x:c>
      <x:c r="H130" s="136" t="str">
        <x:v>High</x:v>
      </x:c>
      <x:c r="I130" s="136" t="str">
        <x:v>Stage 3</x:v>
      </x:c>
      <x:c r="J130" s="136" t="str">
        <x:v>Unassigned</x:v>
      </x:c>
      <x:c r="K130" s="136" t="str">
        <x:v>Comparison selection</x:v>
      </x:c>
      <x:c r="L130" s="136" t="str">
        <x:v>Differences are readable on desktop/mobile and missing values are explicit.</x:v>
      </x:c>
      <x:c r="M130" s="136" t="str">
        <x:v>Different specs; responsive; share/back navigation</x:v>
      </x:c>
      <x:c r="N130" s="136" t="str">
        <x:v>Buyer discovery package implements favourites, recently viewed, comparison and saved-search management.</x:v>
      </x:c>
      <x:c r="O130" s="136" t="str">
        <x:v>Retain in final regression and comprehensive browser QA.</x:v>
      </x:c>
    </x:row>
    <x:row r="131">
      <x:c r="A131" s="135" t="str">
        <x:v>JW-127</x:v>
      </x:c>
      <x:c r="B131" s="135" t="str">
        <x:v>Buyer Features</x:v>
      </x:c>
      <x:c r="C131" s="135" t="str">
        <x:v>Saved search creation</x:v>
      </x:c>
      <x:c r="D131" s="136" t="str">
        <x:v>Persist current parsed filters for signed-in user</x:v>
      </x:c>
      <x:c r="E131" s="136" t="str">
        <x:v>Signed V1</x:v>
      </x:c>
      <x:c r="F131" s="136" t="str">
        <x:v>Completed</x:v>
      </x:c>
      <x:c r="G131" s="137" t="n">
        <x:v>1</x:v>
      </x:c>
      <x:c r="H131" s="136" t="str">
        <x:v>High</x:v>
      </x:c>
      <x:c r="I131" s="136" t="str">
        <x:v>Stage 3</x:v>
      </x:c>
      <x:c r="J131" s="136" t="str">
        <x:v>Unassigned</x:v>
      </x:c>
      <x:c r="K131" s="136" t="str">
        <x:v>saved_searches table</x:v>
      </x:c>
      <x:c r="L131" s="136" t="str">
        <x:v>Saved filters replay exactly and duplicates are handled clearly.</x:v>
      </x:c>
      <x:c r="M131" s="136" t="str">
        <x:v>All verticals; complex facets; auth; duplicate</x:v>
      </x:c>
      <x:c r="N131" s="136" t="str">
        <x:v>Buyer discovery package implements favourites, recently viewed, comparison and saved-search management.</x:v>
      </x:c>
      <x:c r="O131" s="136" t="str">
        <x:v>Retain in final regression and comprehensive browser QA.</x:v>
      </x:c>
    </x:row>
    <x:row r="132">
      <x:c r="A132" s="135" t="str">
        <x:v>JW-128</x:v>
      </x:c>
      <x:c r="B132" s="135" t="str">
        <x:v>Buyer Features</x:v>
      </x:c>
      <x:c r="C132" s="135" t="str">
        <x:v>Saved search management</x:v>
      </x:c>
      <x:c r="D132" s="136" t="str">
        <x:v>List, rename, change frequency and delete saved searches</x:v>
      </x:c>
      <x:c r="E132" s="136" t="str">
        <x:v>Signed V1</x:v>
      </x:c>
      <x:c r="F132" s="136" t="str">
        <x:v>Completed</x:v>
      </x:c>
      <x:c r="G132" s="137" t="n">
        <x:v>1</x:v>
      </x:c>
      <x:c r="H132" s="136" t="str">
        <x:v>Medium</x:v>
      </x:c>
      <x:c r="I132" s="136" t="str">
        <x:v>Stage 3</x:v>
      </x:c>
      <x:c r="J132" s="136" t="str">
        <x:v>Unassigned</x:v>
      </x:c>
      <x:c r="K132" s="136" t="str">
        <x:v>Saved search creation</x:v>
      </x:c>
      <x:c r="L132" s="136" t="str">
        <x:v>User controls only their saved searches and sees current match links.</x:v>
      </x:c>
      <x:c r="M132" s="136" t="str">
        <x:v>Ownership; edit/delete; empty state</x:v>
      </x:c>
      <x:c r="N132" s="136" t="str">
        <x:v>Buyer discovery package implements favourites, recently viewed, comparison and saved-search management.</x:v>
      </x:c>
      <x:c r="O132" s="136" t="str">
        <x:v>Retain in final regression and comprehensive browser QA.</x:v>
      </x:c>
    </x:row>
    <x:row r="133">
      <x:c r="A133" s="135" t="str">
        <x:v>JW-129</x:v>
      </x:c>
      <x:c r="B133" s="135" t="str">
        <x:v>Buyer Features</x:v>
      </x:c>
      <x:c r="C133" s="135" t="str">
        <x:v>Matching-listing alerts</x:v>
      </x:c>
      <x:c r="D133" s="136" t="str">
        <x:v>Email notifications for new matches</x:v>
      </x:c>
      <x:c r="E133" s="136" t="str">
        <x:v>Signed V1</x:v>
      </x:c>
      <x:c r="F133" s="136" t="str">
        <x:v>Pending</x:v>
      </x:c>
      <x:c r="G133" s="137" t="n">
        <x:v>0</x:v>
      </x:c>
      <x:c r="H133" s="136" t="str">
        <x:v>High</x:v>
      </x:c>
      <x:c r="I133" s="136" t="str">
        <x:v>Stage 3</x:v>
      </x:c>
      <x:c r="J133" s="136" t="str">
        <x:v>Unassigned</x:v>
      </x:c>
      <x:c r="K133" s="136" t="str">
        <x:v>Email provider and saved searches</x:v>
      </x:c>
      <x:c r="L133" s="136" t="str">
        <x:v>New matching listings trigger consented, deduplicated alerts with unsubscribe/control.</x:v>
      </x:c>
      <x:c r="M133" s="136" t="str">
        <x:v>Match accuracy; frequency; duplicates; delivery failure; unsubscribe</x:v>
      </x:c>
      <x:c r="N133" s="136" t="str">
        <x:v>No alert job/provider/template exists.</x:v>
      </x:c>
      <x:c r="O133" s="136" t="str">
        <x:v>Choose email provider and build notification worker.</x:v>
      </x:c>
    </x:row>
    <x:row r="134">
      <x:c r="A134" s="135" t="str">
        <x:v>JW-130</x:v>
      </x:c>
      <x:c r="B134" s="135" t="str">
        <x:v>Dealer Features</x:v>
      </x:c>
      <x:c r="C134" s="135" t="str">
        <x:v>Dealer registration</x:v>
      </x:c>
      <x:c r="D134" s="136" t="str">
        <x:v>Create business profile with city, address, landline, WhatsApp and about</x:v>
      </x:c>
      <x:c r="E134" s="136" t="str">
        <x:v>Signed V1</x:v>
      </x:c>
      <x:c r="F134" s="136" t="str">
        <x:v>Completed</x:v>
      </x:c>
      <x:c r="G134" s="137" t="n">
        <x:v>1</x:v>
      </x:c>
      <x:c r="H134" s="136" t="str">
        <x:v>High</x:v>
      </x:c>
      <x:c r="I134" s="136" t="str">
        <x:v>Stage 4</x:v>
      </x:c>
      <x:c r="J134" s="136" t="str">
        <x:v>Unassigned</x:v>
      </x:c>
      <x:c r="K134" s="136" t="str">
        <x:v>Authenticated account</x:v>
      </x:c>
      <x:c r="L134" s="136" t="str">
        <x:v>One dealer profile per user; validation and unique permanent slug work.</x:v>
      </x:c>
      <x:c r="M134" s="136" t="str">
        <x:v>Happy path; duplicate user; duplicate slug; invalid data</x:v>
      </x:c>
      <x:c r="N134" s="136" t="str">
        <x:v>Implemented.</x:v>
      </x:c>
      <x:c r="O134" s="136" t="str">
        <x:v>Add integration tests and logo support.</x:v>
      </x:c>
    </x:row>
    <x:row r="135">
      <x:c r="A135" s="135" t="str">
        <x:v>JW-131</x:v>
      </x:c>
      <x:c r="B135" s="135" t="str">
        <x:v>Dealer Features</x:v>
      </x:c>
      <x:c r="C135" s="135" t="str">
        <x:v>Dealer public directory</x:v>
      </x:c>
      <x:c r="D135" s="136" t="str">
        <x:v>Group dealers by city with live inventory counts</x:v>
      </x:c>
      <x:c r="E135" s="136" t="str">
        <x:v>Signed V1</x:v>
      </x:c>
      <x:c r="F135" s="136" t="str">
        <x:v>Partially Implemented</x:v>
      </x:c>
      <x:c r="G135" s="137" t="n">
        <x:v>0.9</x:v>
      </x:c>
      <x:c r="H135" s="136" t="str">
        <x:v>High</x:v>
      </x:c>
      <x:c r="I135" s="136" t="str">
        <x:v>Stage 4</x:v>
      </x:c>
      <x:c r="J135" s="136" t="str">
        <x:v>Unassigned</x:v>
      </x:c>
      <x:c r="K135" s="136" t="str">
        <x:v>Dealer data</x:v>
      </x:c>
      <x:c r="L135" s="136" t="str">
        <x:v>Page labeling matches whether it lists all or only verified dealers and counts are accurate.</x:v>
      </x:c>
      <x:c r="M135" s="136" t="str">
        <x:v>Verified/unverified; zero listings; pagination</x:v>
      </x:c>
      <x:c r="N135" s="136" t="str">
        <x:v>Dealer directory/storefront behavior is implemented; comprehensive browser acceptance remains deferred.</x:v>
      </x:c>
      <x:c r="O135" s="136" t="str">
        <x:v>Complete during final QA/hardening after functionality development.</x:v>
      </x:c>
    </x:row>
    <x:row r="136">
      <x:c r="A136" s="135" t="str">
        <x:v>JW-132</x:v>
      </x:c>
      <x:c r="B136" s="135" t="str">
        <x:v>Dealer Features</x:v>
      </x:c>
      <x:c r="C136" s="135" t="str">
        <x:v>Dealer storefront</x:v>
      </x:c>
      <x:c r="D136" s="136" t="str">
        <x:v>Public dealer page with profile and active inventory</x:v>
      </x:c>
      <x:c r="E136" s="136" t="str">
        <x:v>Signed V1</x:v>
      </x:c>
      <x:c r="F136" s="136" t="str">
        <x:v>Completed</x:v>
      </x:c>
      <x:c r="G136" s="137" t="n">
        <x:v>1</x:v>
      </x:c>
      <x:c r="H136" s="136" t="str">
        <x:v>High</x:v>
      </x:c>
      <x:c r="I136" s="136" t="str">
        <x:v>Stage 4</x:v>
      </x:c>
      <x:c r="J136" s="136" t="str">
        <x:v>Unassigned</x:v>
      </x:c>
      <x:c r="K136" s="136" t="str">
        <x:v>Dealer listings</x:v>
      </x:c>
      <x:c r="L136" s="136" t="str">
        <x:v>Only active inventory is shown with correct business/location information.</x:v>
      </x:c>
      <x:c r="M136" s="136" t="str">
        <x:v>Unknown slug; empty inventory; pagination; mobile</x:v>
      </x:c>
      <x:c r="N136" s="136" t="str">
        <x:v>Implemented for car inventory.</x:v>
      </x:c>
      <x:c r="O136" s="136" t="str">
        <x:v>Extend to bike/parts if dealers may list them.</x:v>
      </x:c>
    </x:row>
    <x:row r="137">
      <x:c r="A137" s="135" t="str">
        <x:v>JW-133</x:v>
      </x:c>
      <x:c r="B137" s="135" t="str">
        <x:v>Dealer Features</x:v>
      </x:c>
      <x:c r="C137" s="135" t="str">
        <x:v>Dealer dashboard</x:v>
      </x:c>
      <x:c r="D137" s="136" t="str">
        <x:v>Basic counts for active, pending, sold, leads and views</x:v>
      </x:c>
      <x:c r="E137" s="136" t="str">
        <x:v>Signed V1</x:v>
      </x:c>
      <x:c r="F137" s="136" t="str">
        <x:v>Completed</x:v>
      </x:c>
      <x:c r="G137" s="137" t="n">
        <x:v>1</x:v>
      </x:c>
      <x:c r="H137" s="136" t="str">
        <x:v>High</x:v>
      </x:c>
      <x:c r="I137" s="136" t="str">
        <x:v>Stage 4</x:v>
      </x:c>
      <x:c r="J137" s="136" t="str">
        <x:v>Unassigned</x:v>
      </x:c>
      <x:c r="K137" s="136" t="str">
        <x:v>Dealer relation</x:v>
      </x:c>
      <x:c r="L137" s="136" t="str">
        <x:v>Only dealer owner accesses correct aggregated counts.</x:v>
      </x:c>
      <x:c r="M137" s="136" t="str">
        <x:v>Dealer/non-dealer; empty; many listings</x:v>
      </x:c>
      <x:c r="N137" s="136" t="str">
        <x:v>Implemented.</x:v>
      </x:c>
      <x:c r="O137" s="136" t="str">
        <x:v>Update pending terminology after instant-publish correction.</x:v>
      </x:c>
    </x:row>
    <x:row r="138">
      <x:c r="A138" s="135" t="str">
        <x:v>JW-134</x:v>
      </x:c>
      <x:c r="B138" s="135" t="str">
        <x:v>Dealer Features</x:v>
      </x:c>
      <x:c r="C138" s="135" t="str">
        <x:v>Dealer profile editing</x:v>
      </x:c>
      <x:c r="D138" s="136" t="str">
        <x:v>Update business details, contact, about and logo</x:v>
      </x:c>
      <x:c r="E138" s="136" t="str">
        <x:v>Signed V1</x:v>
      </x:c>
      <x:c r="F138" s="136" t="str">
        <x:v>Completed</x:v>
      </x:c>
      <x:c r="G138" s="137" t="n">
        <x:v>1</x:v>
      </x:c>
      <x:c r="H138" s="136" t="str">
        <x:v>High</x:v>
      </x:c>
      <x:c r="I138" s="136" t="str">
        <x:v>Stage 4</x:v>
      </x:c>
      <x:c r="J138" s="136" t="str">
        <x:v>Unassigned</x:v>
      </x:c>
      <x:c r="K138" s="136" t="str">
        <x:v>Dealer dashboard and uploads</x:v>
      </x:c>
      <x:c r="L138" s="136" t="str">
        <x:v>Only dealer owner/admin can update; slug policy and validation are preserved.</x:v>
      </x:c>
      <x:c r="M138" s="136" t="str">
        <x:v>Owner/non-owner; duplicate fields; image replacement</x:v>
      </x:c>
      <x:c r="N138" s="136" t="str">
        <x:v>Dealer settings, logo, manual verification/revocation, badges and inventory management are implemented.</x:v>
      </x:c>
      <x:c r="O138" s="136" t="str">
        <x:v>Retain in final regression and comprehensive browser QA.</x:v>
      </x:c>
    </x:row>
    <x:row r="139">
      <x:c r="A139" s="135" t="str">
        <x:v>JW-135</x:v>
      </x:c>
      <x:c r="B139" s="135" t="str">
        <x:v>Dealer Features</x:v>
      </x:c>
      <x:c r="C139" s="135" t="str">
        <x:v>Dealer logo upload</x:v>
      </x:c>
      <x:c r="D139" s="136" t="str">
        <x:v>Securely upload and display showroom logo</x:v>
      </x:c>
      <x:c r="E139" s="136" t="str">
        <x:v>Signed V1</x:v>
      </x:c>
      <x:c r="F139" s="136" t="str">
        <x:v>Completed</x:v>
      </x:c>
      <x:c r="G139" s="137" t="n">
        <x:v>1</x:v>
      </x:c>
      <x:c r="H139" s="136" t="str">
        <x:v>Medium</x:v>
      </x:c>
      <x:c r="I139" s="136" t="str">
        <x:v>Stage 4</x:v>
      </x:c>
      <x:c r="J139" s="136" t="str">
        <x:v>Unassigned</x:v>
      </x:c>
      <x:c r="K139" s="136" t="str">
        <x:v>Dealer edit and media ownership</x:v>
      </x:c>
      <x:c r="L139" s="136" t="str">
        <x:v>Logo is owner-controlled, validated and displayed consistently.</x:v>
      </x:c>
      <x:c r="M139" s="136" t="str">
        <x:v>Upload/replace/delete; dimensions; malicious files</x:v>
      </x:c>
      <x:c r="N139" s="136" t="str">
        <x:v>Dealer settings, logo, manual verification/revocation, badges and inventory management are implemented.</x:v>
      </x:c>
      <x:c r="O139" s="136" t="str">
        <x:v>Retain in final regression and comprehensive browser QA.</x:v>
      </x:c>
    </x:row>
    <x:row r="140">
      <x:c r="A140" s="135" t="str">
        <x:v>JW-136</x:v>
      </x:c>
      <x:c r="B140" s="135" t="str">
        <x:v>Dealer Features</x:v>
      </x:c>
      <x:c r="C140" s="135" t="str">
        <x:v>Manual dealer verification</x:v>
      </x:c>
      <x:c r="D140" s="136" t="str">
        <x:v>Admin approves, revokes and records dealer verification</x:v>
      </x:c>
      <x:c r="E140" s="136" t="str">
        <x:v>Signed V1</x:v>
      </x:c>
      <x:c r="F140" s="136" t="str">
        <x:v>Completed</x:v>
      </x:c>
      <x:c r="G140" s="137" t="n">
        <x:v>1</x:v>
      </x:c>
      <x:c r="H140" s="136" t="str">
        <x:v>Critical</x:v>
      </x:c>
      <x:c r="I140" s="136" t="str">
        <x:v>Stage 4</x:v>
      </x:c>
      <x:c r="J140" s="136" t="str">
        <x:v>Unassigned</x:v>
      </x:c>
      <x:c r="K140" s="136" t="str">
        <x:v>Admin controls</x:v>
      </x:c>
      <x:c r="L140" s="136" t="str">
        <x:v>Only admin changes verifiedAt; badge updates everywhere; reason/audit is recorded.</x:v>
      </x:c>
      <x:c r="M140" s="136" t="str">
        <x:v>Approve/revoke; non-admin; homepage/directory/detail badge</x:v>
      </x:c>
      <x:c r="N140" s="136" t="str">
        <x:v>Manual dealer verification is implemented. Desktop/mobile Chromium now confirms admin grant and reasoned revocation, changed public verified badge, and new append-only audit entries in isolated PostgreSQL.</x:v>
      </x:c>
      <x:c r="O140" s="136" t="str">
        <x:v>Final live administrator review can be included in launch acceptance; provider/hosting setup is separate.</x:v>
      </x:c>
    </x:row>
    <x:row r="141">
      <x:c r="A141" s="135" t="str">
        <x:v>JW-137</x:v>
      </x:c>
      <x:c r="B141" s="135" t="str">
        <x:v>Dealer Features</x:v>
      </x:c>
      <x:c r="C141" s="135" t="str">
        <x:v>Verified badge consistency</x:v>
      </x:c>
      <x:c r="D141" s="136" t="str">
        <x:v>Badge appears only for verified dealers across cards, homepage, directory and storefront</x:v>
      </x:c>
      <x:c r="E141" s="136" t="str">
        <x:v>Signed V1</x:v>
      </x:c>
      <x:c r="F141" s="136" t="str">
        <x:v>Completed</x:v>
      </x:c>
      <x:c r="G141" s="137" t="n">
        <x:v>1</x:v>
      </x:c>
      <x:c r="H141" s="136" t="str">
        <x:v>High</x:v>
      </x:c>
      <x:c r="I141" s="136" t="str">
        <x:v>Stage 4</x:v>
      </x:c>
      <x:c r="J141" s="136" t="str">
        <x:v>Unassigned</x:v>
      </x:c>
      <x:c r="K141" s="136" t="str">
        <x:v>Verification workflow</x:v>
      </x:c>
      <x:c r="L141" s="136" t="str">
        <x:v>All surfaces use the same verifiedAt source and never infer verification from seller type.</x:v>
      </x:c>
      <x:c r="M141" s="136" t="str">
        <x:v>Verified/unverified across every surface</x:v>
      </x:c>
      <x:c r="N141" s="136" t="str">
        <x:v>Dealer settings, logo, manual verification/revocation, badges and inventory management are implemented.</x:v>
      </x:c>
      <x:c r="O141" s="136" t="str">
        <x:v>Retain in final regression and comprehensive browser QA.</x:v>
      </x:c>
    </x:row>
    <x:row r="142">
      <x:c r="A142" s="135" t="str">
        <x:v>JW-138</x:v>
      </x:c>
      <x:c r="B142" s="135" t="str">
        <x:v>Dealer Features</x:v>
      </x:c>
      <x:c r="C142" s="135" t="str">
        <x:v>Inventory management</x:v>
      </x:c>
      <x:c r="D142" s="136" t="str">
        <x:v>Dealer uses listing CRUD for cars, bikes and parts</x:v>
      </x:c>
      <x:c r="E142" s="136" t="str">
        <x:v>Signed V1</x:v>
      </x:c>
      <x:c r="F142" s="136" t="str">
        <x:v>Completed</x:v>
      </x:c>
      <x:c r="G142" s="137" t="n">
        <x:v>1</x:v>
      </x:c>
      <x:c r="H142" s="136" t="str">
        <x:v>Critical</x:v>
      </x:c>
      <x:c r="I142" s="136" t="str">
        <x:v>Stage 4</x:v>
      </x:c>
      <x:c r="J142" s="136" t="str">
        <x:v>Unassigned</x:v>
      </x:c>
      <x:c r="K142" s="136" t="str">
        <x:v>All listing CRUD</x:v>
      </x:c>
      <x:c r="L142" s="136" t="str">
        <x:v>Dealer can create/edit/delete/mark sold for every permitted vertical.</x:v>
      </x:c>
      <x:c r="M142" s="136" t="str">
        <x:v>Ownership; verticals; storefront reflection</x:v>
      </x:c>
      <x:c r="N142" s="136" t="str">
        <x:v>Dealer settings, logo, manual verification/revocation, badges and inventory management are implemented.</x:v>
      </x:c>
      <x:c r="O142" s="136" t="str">
        <x:v>Retain in final regression and comprehensive browser QA.</x:v>
      </x:c>
    </x:row>
    <x:row r="143">
      <x:c r="A143" s="135" t="str">
        <x:v>JW-139</x:v>
      </x:c>
      <x:c r="B143" s="135" t="str">
        <x:v>Assistance Services</x:v>
      </x:c>
      <x:c r="C143" s="135" t="str">
        <x:v>Vehicle inspection request form</x:v>
      </x:c>
      <x:c r="D143" s="136" t="str">
        <x:v>Signed-in user submits city, address, phone and optional listing reference</x:v>
      </x:c>
      <x:c r="E143" s="136" t="str">
        <x:v>Signed V1</x:v>
      </x:c>
      <x:c r="F143" s="136" t="str">
        <x:v>Completed</x:v>
      </x:c>
      <x:c r="G143" s="137" t="n">
        <x:v>1</x:v>
      </x:c>
      <x:c r="H143" s="136" t="str">
        <x:v>High</x:v>
      </x:c>
      <x:c r="I143" s="136" t="str">
        <x:v>Stage 5</x:v>
      </x:c>
      <x:c r="J143" s="136" t="str">
        <x:v>Unassigned</x:v>
      </x:c>
      <x:c r="K143" s="136" t="str">
        <x:v>Authentication and cities</x:v>
      </x:c>
      <x:c r="L143" s="136" t="str">
        <x:v>Valid request receives unique reference and persists for manual follow-up.</x:v>
      </x:c>
      <x:c r="M143" s="136" t="str">
        <x:v>Auth redirect; validation; phone normalization; listing/no listing</x:v>
      </x:c>
      <x:c r="N143" s="136" t="str">
        <x:v>Implemented and verified in desktop/mobile Chromium with isolated PostgreSQL: seller inspection request persists with an initial event; admin contact update appends a customer message and private note; customer sees the message but never the private note.</x:v>
      </x:c>
      <x:c r="O143" s="136" t="str">
        <x:v>Listing-linked request, invalid transitions and final live browser acceptance remain open.</x:v>
      </x:c>
    </x:row>
    <x:row r="144">
      <x:c r="A144" s="135" t="str">
        <x:v>JW-140</x:v>
      </x:c>
      <x:c r="B144" s="135" t="str">
        <x:v>Assistance Services</x:v>
      </x:c>
      <x:c r="C144" s="135" t="str">
        <x:v>Inspection request status</x:v>
      </x:c>
      <x:c r="D144" s="136" t="str">
        <x:v>Requested, contacted and cancelled lifecycle</x:v>
      </x:c>
      <x:c r="E144" s="136" t="str">
        <x:v>Signed V1</x:v>
      </x:c>
      <x:c r="F144" s="136" t="str">
        <x:v>Completed</x:v>
      </x:c>
      <x:c r="G144" s="137" t="n">
        <x:v>1</x:v>
      </x:c>
      <x:c r="H144" s="136" t="str">
        <x:v>Medium</x:v>
      </x:c>
      <x:c r="I144" s="136" t="str">
        <x:v>Stage 5</x:v>
      </x:c>
      <x:c r="J144" s="136" t="str">
        <x:v>Unassigned</x:v>
      </x:c>
      <x:c r="K144" s="136" t="str">
        <x:v>Admin inspection management</x:v>
      </x:c>
      <x:c r="L144" s="136" t="str">
        <x:v>Staff can update status with timestamps/notes and requester can see approved status visibility.</x:v>
      </x:c>
      <x:c r="M144" s="136" t="str">
        <x:v>Valid/invalid transitions; admin auth</x:v>
      </x:c>
      <x:c r="N144" s="136" t="str">
        <x:v>Implemented and verified in desktop/mobile Chromium with isolated PostgreSQL: seller inspection request persists with an initial event; admin contact update appends a customer message and private note; customer sees the message but never the private note.</x:v>
      </x:c>
      <x:c r="O144" s="136" t="str">
        <x:v>Listing-linked request, invalid transitions and final live browser acceptance remain open.</x:v>
      </x:c>
    </x:row>
    <x:row r="145">
      <x:c r="A145" s="135" t="str">
        <x:v>JW-141</x:v>
      </x:c>
      <x:c r="B145" s="135" t="str">
        <x:v>Assistance Services</x:v>
      </x:c>
      <x:c r="C145" s="135" t="str">
        <x:v>Inspection administration</x:v>
      </x:c>
      <x:c r="D145" s="136" t="str">
        <x:v>View, search, contact and update incoming requests</x:v>
      </x:c>
      <x:c r="E145" s="136" t="str">
        <x:v>Signed V1</x:v>
      </x:c>
      <x:c r="F145" s="136" t="str">
        <x:v>Completed</x:v>
      </x:c>
      <x:c r="G145" s="137" t="n">
        <x:v>1</x:v>
      </x:c>
      <x:c r="H145" s="136" t="str">
        <x:v>High</x:v>
      </x:c>
      <x:c r="I145" s="136" t="str">
        <x:v>Stage 5</x:v>
      </x:c>
      <x:c r="J145" s="136" t="str">
        <x:v>Unassigned</x:v>
      </x:c>
      <x:c r="K145" s="136" t="str">
        <x:v>Admin area</x:v>
      </x:c>
      <x:c r="L145" s="136" t="str">
        <x:v>Authorized staff can manage requests without inspector workforce/scheduling features.</x:v>
      </x:c>
      <x:c r="M145" s="136" t="str">
        <x:v>Admin/non-admin; filtering; status changes</x:v>
      </x:c>
      <x:c r="N145" s="136" t="str">
        <x:v>Implemented and verified in desktop/mobile Chromium with isolated PostgreSQL: seller inspection request persists with an initial event; admin contact update appends a customer message and private note; customer sees the message but never the private note.</x:v>
      </x:c>
      <x:c r="O145" s="136" t="str">
        <x:v>Listing-linked request, invalid transitions and final live browser acceptance remain open.</x:v>
      </x:c>
    </x:row>
    <x:row r="146">
      <x:c r="A146" s="135" t="str">
        <x:v>JW-142</x:v>
      </x:c>
      <x:c r="B146" s="135" t="str">
        <x:v>Assistance Services</x:v>
      </x:c>
      <x:c r="C146" s="135" t="str">
        <x:v>Sell My Car request</x:v>
      </x:c>
      <x:c r="D146" s="136" t="str">
        <x:v>Collect seller/vehicle/contact details for manual assistance</x:v>
      </x:c>
      <x:c r="E146" s="136" t="str">
        <x:v>Signed V1</x:v>
      </x:c>
      <x:c r="F146" s="136" t="str">
        <x:v>Completed</x:v>
      </x:c>
      <x:c r="G146" s="137" t="n">
        <x:v>1</x:v>
      </x:c>
      <x:c r="H146" s="136" t="str">
        <x:v>High</x:v>
      </x:c>
      <x:c r="I146" s="136" t="str">
        <x:v>Stage 5</x:v>
      </x:c>
      <x:c r="J146" s="136" t="str">
        <x:v>Unassigned</x:v>
      </x:c>
      <x:c r="K146" s="136" t="str">
        <x:v>New request schema and route</x:v>
      </x:c>
      <x:c r="L146" s="136" t="str">
        <x:v>User can submit and receive a reference; no unsupported transaction promise.</x:v>
      </x:c>
      <x:c r="M146" s="136" t="str">
        <x:v>Validation; auth/guest decision; duplicate; privacy</x:v>
      </x:c>
      <x:c r="N146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6" s="136" t="str">
        <x:v>Negative authorization/validation cases and final live browser acceptance remain open.</x:v>
      </x:c>
    </x:row>
    <x:row r="147">
      <x:c r="A147" s="135" t="str">
        <x:v>JW-143</x:v>
      </x:c>
      <x:c r="B147" s="135" t="str">
        <x:v>Assistance Services</x:v>
      </x:c>
      <x:c r="C147" s="135" t="str">
        <x:v>Sell My Car administration</x:v>
      </x:c>
      <x:c r="D147" s="136" t="str">
        <x:v>Admin reviews and updates assistance requests</x:v>
      </x:c>
      <x:c r="E147" s="136" t="str">
        <x:v>Signed V1</x:v>
      </x:c>
      <x:c r="F147" s="136" t="str">
        <x:v>Completed</x:v>
      </x:c>
      <x:c r="G147" s="137" t="n">
        <x:v>1</x:v>
      </x:c>
      <x:c r="H147" s="136" t="str">
        <x:v>High</x:v>
      </x:c>
      <x:c r="I147" s="136" t="str">
        <x:v>Stage 5</x:v>
      </x:c>
      <x:c r="J147" s="136" t="str">
        <x:v>Unassigned</x:v>
      </x:c>
      <x:c r="K147" s="136" t="str">
        <x:v>Sell My Car request</x:v>
      </x:c>
      <x:c r="L147" s="136" t="str">
        <x:v>Authorized staff can manage request status and internal follow-up notes.</x:v>
      </x:c>
      <x:c r="M147" s="136" t="str">
        <x:v>Authorization; status changes; filtering</x:v>
      </x:c>
      <x:c r="N147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7" s="136" t="str">
        <x:v>Negative authorization/validation cases and final live browser acceptance remain open.</x:v>
      </x:c>
    </x:row>
    <x:row r="148">
      <x:c r="A148" s="135" t="str">
        <x:v>JW-144</x:v>
      </x:c>
      <x:c r="B148" s="135" t="str">
        <x:v>Trust &amp; Moderation</x:v>
      </x:c>
      <x:c r="C148" s="135" t="str">
        <x:v>Report listing</x:v>
      </x:c>
      <x:c r="D148" s="136" t="str">
        <x:v>Authenticated or anonymous visitor reports an ad with reason/comment</x:v>
      </x:c>
      <x:c r="E148" s="136" t="str">
        <x:v>Signed V1</x:v>
      </x:c>
      <x:c r="F148" s="136" t="str">
        <x:v>Completed</x:v>
      </x:c>
      <x:c r="G148" s="137" t="n">
        <x:v>1</x:v>
      </x:c>
      <x:c r="H148" s="136" t="str">
        <x:v>Critical</x:v>
      </x:c>
      <x:c r="I148" s="136" t="str">
        <x:v>Stage 4</x:v>
      </x:c>
      <x:c r="J148" s="136" t="str">
        <x:v>Unassigned</x:v>
      </x:c>
      <x:c r="K148" s="136" t="str">
        <x:v>Listing detail</x:v>
      </x:c>
      <x:c r="L148" s="136" t="str">
        <x:v>Valid report persists; one person cannot repeatedly report the same listing.</x:v>
      </x:c>
      <x:c r="M148" s="136" t="str">
        <x:v>Anonymous/auth; duplicate; invalid listing; all reasons</x:v>
      </x:c>
      <x:c r="N148" s="136" t="str">
        <x:v>Anonymous report reason/comment, same-cookie duplicate suppression and database persistence verified in desktop/mobile Chromium. Server now rejects unavailable or nonexistent listing submissions with a user-facing response.</x:v>
      </x:c>
      <x:c r="O148" s="136" t="str">
        <x:v>Add authenticated reporting, invalid reason and direct-request browser cases; final live acceptance remains open.</x:v>
      </x:c>
    </x:row>
    <x:row r="149">
      <x:c r="A149" s="135" t="str">
        <x:v>JW-145</x:v>
      </x:c>
      <x:c r="B149" s="135" t="str">
        <x:v>Trust &amp; Moderation</x:v>
      </x:c>
      <x:c r="C149" s="135" t="str">
        <x:v>Report abuse protection</x:v>
      </x:c>
      <x:c r="D149" s="136" t="str">
        <x:v>One report per user/anonymous ID and high auto-hide threshold</x:v>
      </x:c>
      <x:c r="E149" s="136" t="str">
        <x:v>Signed V1</x:v>
      </x:c>
      <x:c r="F149" s="136" t="str">
        <x:v>Completed</x:v>
      </x:c>
      <x:c r="G149" s="137" t="n">
        <x:v>1</x:v>
      </x:c>
      <x:c r="H149" s="136" t="str">
        <x:v>Critical</x:v>
      </x:c>
      <x:c r="I149" s="136" t="str">
        <x:v>Stage 4</x:v>
      </x:c>
      <x:c r="J149" s="136" t="str">
        <x:v>Unassigned</x:v>
      </x:c>
      <x:c r="K149" s="136" t="str">
        <x:v>Anonymous cookie</x:v>
      </x:c>
      <x:c r="L149" s="136" t="str">
        <x:v>Competitors cannot quickly remove an ad with duplicate reports.</x:v>
      </x:c>
      <x:c r="M149" s="136" t="str">
        <x:v>Cookie reuse/reset; concurrent reports; threshold</x:v>
      </x:c>
      <x:c r="N149" s="136" t="str">
        <x:v>One report per anonymous cookie/user is enforced by unique indexes; same-cookie duplicate browser test persists only one report. Desktop/mobile Chromium simultaneously submitted fifth/sixth reports after four open reports: exactly five stayed open, one new queue event was written and the ad was held.</x:v>
      </x:c>
      <x:c r="O149" s="136" t="str">
        <x:v>Review distributed anonymous abuse/rate limiting and final live acceptance.</x:v>
      </x:c>
    </x:row>
    <x:row r="150">
      <x:c r="A150" s="135" t="str">
        <x:v>JW-146</x:v>
      </x:c>
      <x:c r="B150" s="135" t="str">
        <x:v>Trust &amp; Moderation</x:v>
      </x:c>
      <x:c r="C150" s="135" t="str">
        <x:v>Automatic report response</x:v>
      </x:c>
      <x:c r="D150" s="136" t="str">
        <x:v>Move listing to review after five open reports</x:v>
      </x:c>
      <x:c r="E150" s="136" t="str">
        <x:v>Signed V1</x:v>
      </x:c>
      <x:c r="F150" s="136" t="str">
        <x:v>Completed</x:v>
      </x:c>
      <x:c r="G150" s="137" t="n">
        <x:v>1</x:v>
      </x:c>
      <x:c r="H150" s="136" t="str">
        <x:v>High</x:v>
      </x:c>
      <x:c r="I150" s="136" t="str">
        <x:v>Stage 4</x:v>
      </x:c>
      <x:c r="J150" s="136" t="str">
        <x:v>Unassigned</x:v>
      </x:c>
      <x:c r="K150" s="136" t="str">
        <x:v>Status model</x:v>
      </x:c>
      <x:c r="L150" s="136" t="str">
        <x:v>Auto-action follows approved Flagged behavior, is logged and avoids false removal.</x:v>
      </x:c>
      <x:c r="M150" s="136" t="str">
        <x:v>Threshold 4/5/6; concurrent reports; sold reason</x:v>
      </x:c>
      <x:c r="N150" s="136" t="str">
        <x:v>Five open reports trigger one audited pending-review safety hold; first four leave the ad public. Reporter receives a confirmation page, and admin approval restores the ad and dismisses reports. Verified desktop/mobile Chromium with isolated PostgreSQL.</x:v>
      </x:c>
      <x:c r="O150" s="136" t="str">
        <x:v>Final live acceptance remains open.</x:v>
      </x:c>
    </x:row>
    <x:row r="151">
      <x:c r="A151" s="135" t="str">
        <x:v>JW-147</x:v>
      </x:c>
      <x:c r="B151" s="135" t="str">
        <x:v>Trust &amp; Moderation</x:v>
      </x:c>
      <x:c r="C151" s="135" t="str">
        <x:v>Moderation queue</x:v>
      </x:c>
      <x:c r="D151" s="136" t="str">
        <x:v>Admin views pending and reported listings</x:v>
      </x:c>
      <x:c r="E151" s="136" t="str">
        <x:v>Signed V1</x:v>
      </x:c>
      <x:c r="F151" s="136" t="str">
        <x:v>Completed</x:v>
      </x:c>
      <x:c r="G151" s="137" t="n">
        <x:v>1</x:v>
      </x:c>
      <x:c r="H151" s="136" t="str">
        <x:v>High</x:v>
      </x:c>
      <x:c r="I151" s="136" t="str">
        <x:v>Stage 4</x:v>
      </x:c>
      <x:c r="J151" s="136" t="str">
        <x:v>Unassigned</x:v>
      </x:c>
      <x:c r="K151" s="136" t="str">
        <x:v>Admin authorization</x:v>
      </x:c>
      <x:c r="L151" s="136" t="str">
        <x:v>Queue displays correct records, report counts and links.</x:v>
      </x:c>
      <x:c r="M151" s="136" t="str">
        <x:v>Empty/populated; limits; non-admin</x:v>
      </x:c>
      <x:c r="N151" s="136" t="str">
        <x:v>Basic moderation page exists.</x:v>
      </x:c>
      <x:c r="O151" s="136" t="str">
        <x:v>Remove routine pre-approval queue after instant-publish correction; retain flagged/reported queue.</x:v>
      </x:c>
    </x:row>
    <x:row r="152">
      <x:c r="A152" s="135" t="str">
        <x:v>JW-148</x:v>
      </x:c>
      <x:c r="B152" s="135" t="str">
        <x:v>Trust &amp; Moderation</x:v>
      </x:c>
      <x:c r="C152" s="135" t="str">
        <x:v>Approve/dismiss</x:v>
      </x:c>
      <x:c r="D152" s="136" t="str">
        <x:v>Admin restores/keeps listing active and dismisses open reports</x:v>
      </x:c>
      <x:c r="E152" s="136" t="str">
        <x:v>Signed V1</x:v>
      </x:c>
      <x:c r="F152" s="136" t="str">
        <x:v>Completed</x:v>
      </x:c>
      <x:c r="G152" s="137" t="n">
        <x:v>1</x:v>
      </x:c>
      <x:c r="H152" s="136" t="str">
        <x:v>High</x:v>
      </x:c>
      <x:c r="I152" s="136" t="str">
        <x:v>Stage 4</x:v>
      </x:c>
      <x:c r="J152" s="136" t="str">
        <x:v>Unassigned</x:v>
      </x:c>
      <x:c r="K152" s="136" t="str">
        <x:v>Moderation queue</x:v>
      </x:c>
      <x:c r="L152" s="136" t="str">
        <x:v>Action updates listing/report statuses and logs the decision atomically.</x:v>
      </x:c>
      <x:c r="M152" s="136" t="str">
        <x:v>Approve reported/pending; repeated; non-admin</x:v>
      </x:c>
      <x:c r="N152" s="136" t="str">
        <x:v>Implemented.</x:v>
      </x:c>
      <x:c r="O152" s="136" t="str">
        <x:v>Rename behavior to match post-publication moderation.</x:v>
      </x:c>
    </x:row>
    <x:row r="153">
      <x:c r="A153" s="135" t="str">
        <x:v>JW-149</x:v>
      </x:c>
      <x:c r="B153" s="135" t="str">
        <x:v>Trust &amp; Moderation</x:v>
      </x:c>
      <x:c r="C153" s="135" t="str">
        <x:v>Remove listing</x:v>
      </x:c>
      <x:c r="D153" s="136" t="str">
        <x:v>Admin removes listing with recorded reason</x:v>
      </x:c>
      <x:c r="E153" s="136" t="str">
        <x:v>Signed V1</x:v>
      </x:c>
      <x:c r="F153" s="136" t="str">
        <x:v>Completed</x:v>
      </x:c>
      <x:c r="G153" s="137" t="n">
        <x:v>1</x:v>
      </x:c>
      <x:c r="H153" s="136" t="str">
        <x:v>Critical</x:v>
      </x:c>
      <x:c r="I153" s="136" t="str">
        <x:v>Stage 4</x:v>
      </x:c>
      <x:c r="J153" s="136" t="str">
        <x:v>Unassigned</x:v>
      </x:c>
      <x:c r="K153" s="136" t="str">
        <x:v>Moderation queue</x:v>
      </x:c>
      <x:c r="L153" s="136" t="str">
        <x:v>Listing stops search/contact; reports are actioned; audit entry persists.</x:v>
      </x:c>
      <x:c r="M153" s="136" t="str">
        <x:v>Reason; repeated; direct URL; SEO</x:v>
      </x:c>
      <x:c r="N153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3" s="136" t="str">
        <x:v>Report resolution, direct-action authorization and final live acceptance remain open.</x:v>
      </x:c>
    </x:row>
    <x:row r="154">
      <x:c r="A154" s="135" t="str">
        <x:v>JW-150</x:v>
      </x:c>
      <x:c r="B154" s="135" t="str">
        <x:v>Trust &amp; Moderation</x:v>
      </x:c>
      <x:c r="C154" s="135" t="str">
        <x:v>Edit listing as admin</x:v>
      </x:c>
      <x:c r="D154" s="136" t="str">
        <x:v>Correct misleading content while preserving audit history</x:v>
      </x:c>
      <x:c r="E154" s="136" t="str">
        <x:v>Signed V1</x:v>
      </x:c>
      <x:c r="F154" s="136" t="str">
        <x:v>Completed</x:v>
      </x:c>
      <x:c r="G154" s="137" t="n">
        <x:v>1</x:v>
      </x:c>
      <x:c r="H154" s="136" t="str">
        <x:v>Medium</x:v>
      </x:c>
      <x:c r="I154" s="136" t="str">
        <x:v>Stage 4</x:v>
      </x:c>
      <x:c r="J154" s="136" t="str">
        <x:v>Unassigned</x:v>
      </x:c>
      <x:c r="K154" s="136" t="str">
        <x:v>Listing edit system</x:v>
      </x:c>
      <x:c r="L154" s="136" t="str">
        <x:v>Admin edits are permission-checked and appended to moderation log.</x:v>
      </x:c>
      <x:c r="M154" s="136" t="str">
        <x:v>Admin/non-admin; field validation; audit</x:v>
      </x:c>
      <x:c r="N154" s="136" t="str">
        <x:v>Admin listing edits/status transitions, audit history and user ban/unban controls are implemented.</x:v>
      </x:c>
      <x:c r="O154" s="136" t="str">
        <x:v>Retain in final regression and comprehensive browser QA.</x:v>
      </x:c>
    </x:row>
    <x:row r="155">
      <x:c r="A155" s="135" t="str">
        <x:v>JW-151</x:v>
      </x:c>
      <x:c r="B155" s="135" t="str">
        <x:v>Trust &amp; Moderation</x:v>
      </x:c>
      <x:c r="C155" s="135" t="str">
        <x:v>Flag/unpublish/reinstate</x:v>
      </x:c>
      <x:c r="D155" s="136" t="str">
        <x:v>Explicit post-publication controls without deletion</x:v>
      </x:c>
      <x:c r="E155" s="136" t="str">
        <x:v>Signed V1</x:v>
      </x:c>
      <x:c r="F155" s="136" t="str">
        <x:v>Completed</x:v>
      </x:c>
      <x:c r="G155" s="137" t="n">
        <x:v>1</x:v>
      </x:c>
      <x:c r="H155" s="136" t="str">
        <x:v>High</x:v>
      </x:c>
      <x:c r="I155" s="136" t="str">
        <x:v>Stage 4</x:v>
      </x:c>
      <x:c r="J155" s="136" t="str">
        <x:v>Unassigned</x:v>
      </x:c>
      <x:c r="K155" s="136" t="str">
        <x:v>Status lifecycle</x:v>
      </x:c>
      <x:c r="L155" s="136" t="str">
        <x:v>Admin can temporarily unpublish/flag and reinstate with reasons and audit trail.</x:v>
      </x:c>
      <x:c r="M155" s="136" t="str">
        <x:v>Transition matrix; search/detail; concurrent actions</x:v>
      </x:c>
      <x:c r="N155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5" s="136" t="str">
        <x:v>Report resolution, direct-action authorization and final live acceptance remain open.</x:v>
      </x:c>
    </x:row>
    <x:row r="156">
      <x:c r="A156" s="135" t="str">
        <x:v>JW-152</x:v>
      </x:c>
      <x:c r="B156" s="135" t="str">
        <x:v>Trust &amp; Moderation</x:v>
      </x:c>
      <x:c r="C156" s="135" t="str">
        <x:v>User management</x:v>
      </x:c>
      <x:c r="D156" s="136" t="str">
        <x:v>Search/view users and account state</x:v>
      </x:c>
      <x:c r="E156" s="136" t="str">
        <x:v>Signed V1</x:v>
      </x:c>
      <x:c r="F156" s="136" t="str">
        <x:v>Completed</x:v>
      </x:c>
      <x:c r="G156" s="137" t="n">
        <x:v>1</x:v>
      </x:c>
      <x:c r="H156" s="136" t="str">
        <x:v>High</x:v>
      </x:c>
      <x:c r="I156" s="136" t="str">
        <x:v>Stage 4</x:v>
      </x:c>
      <x:c r="J156" s="136" t="str">
        <x:v>Unassigned</x:v>
      </x:c>
      <x:c r="K156" s="136" t="str">
        <x:v>Admin area</x:v>
      </x:c>
      <x:c r="L156" s="136" t="str">
        <x:v>Authorized admin can inspect necessary account data without exposing secrets.</x:v>
      </x:c>
      <x:c r="M156" s="136" t="str">
        <x:v>Admin/non-admin; search; privacy</x:v>
      </x:c>
      <x:c r="N156" s="136" t="str">
        <x:v>Admin listing edits/status transitions, audit history and user ban/unban controls are implemented.</x:v>
      </x:c>
      <x:c r="O156" s="136" t="str">
        <x:v>Retain in final regression and comprehensive browser QA.</x:v>
      </x:c>
    </x:row>
    <x:row r="157">
      <x:c r="A157" s="135" t="str">
        <x:v>JW-153</x:v>
      </x:c>
      <x:c r="B157" s="135" t="str">
        <x:v>Trust &amp; Moderation</x:v>
      </x:c>
      <x:c r="C157" s="135" t="str">
        <x:v>Ban/unban users</x:v>
      </x:c>
      <x:c r="D157" s="136" t="str">
        <x:v>Suspend abusive sellers and prevent new/active access</x:v>
      </x:c>
      <x:c r="E157" s="136" t="str">
        <x:v>Signed V1</x:v>
      </x:c>
      <x:c r="F157" s="136" t="str">
        <x:v>Completed</x:v>
      </x:c>
      <x:c r="G157" s="137" t="n">
        <x:v>1</x:v>
      </x:c>
      <x:c r="H157" s="136" t="str">
        <x:v>Critical</x:v>
      </x:c>
      <x:c r="I157" s="136" t="str">
        <x:v>Stage 4</x:v>
      </x:c>
      <x:c r="J157" s="136" t="str">
        <x:v>Unassigned</x:v>
      </x:c>
      <x:c r="K157" s="136" t="str">
        <x:v>User management</x:v>
      </x:c>
      <x:c r="L157" s="136" t="str">
        <x:v>Admin action is logged and affected listings follow approved policy.</x:v>
      </x:c>
      <x:c r="M157" s="136" t="str">
        <x:v>Ban/unban; active session; listings; audit</x:v>
      </x:c>
      <x:c r="N157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7" s="136" t="str">
        <x:v>Report resolution, direct-action authorization and final live acceptance remain open.</x:v>
      </x:c>
    </x:row>
    <x:row r="158">
      <x:c r="A158" s="135" t="str">
        <x:v>JW-154</x:v>
      </x:c>
      <x:c r="B158" s="135" t="str">
        <x:v>Trust &amp; Moderation</x:v>
      </x:c>
      <x:c r="C158" s="135" t="str">
        <x:v>Moderation audit history</x:v>
      </x:c>
      <x:c r="D158" s="136" t="str">
        <x:v>Append-only record of automated and human actions</x:v>
      </x:c>
      <x:c r="E158" s="136" t="str">
        <x:v>Signed V1</x:v>
      </x:c>
      <x:c r="F158" s="136" t="str">
        <x:v>Completed</x:v>
      </x:c>
      <x:c r="G158" s="137" t="n">
        <x:v>1</x:v>
      </x:c>
      <x:c r="H158" s="136" t="str">
        <x:v>High</x:v>
      </x:c>
      <x:c r="I158" s="136" t="str">
        <x:v>Stage 4</x:v>
      </x:c>
      <x:c r="J158" s="136" t="str">
        <x:v>Unassigned</x:v>
      </x:c>
      <x:c r="K158" s="136" t="str">
        <x:v>Admin actions</x:v>
      </x:c>
      <x:c r="L158" s="136" t="str">
        <x:v>Every moderation/verification/user action has actor, target, reason and timestamp.</x:v>
      </x:c>
      <x:c r="M158" s="136" t="str">
        <x:v>All action types; tamper/foreign keys</x:v>
      </x:c>
      <x:c r="N158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8" s="136" t="str">
        <x:v>Report resolution, direct-action authorization and final live acceptance remain open.</x:v>
      </x:c>
    </x:row>
    <x:row r="159">
      <x:c r="A159" s="135" t="str">
        <x:v>JW-155</x:v>
      </x:c>
      <x:c r="B159" s="135" t="str">
        <x:v>Trust &amp; Moderation</x:v>
      </x:c>
      <x:c r="C159" s="135" t="str">
        <x:v>Admin dashboard overview</x:v>
      </x:c>
      <x:c r="D159" s="136" t="str">
        <x:v>Operational counts for reports, users, listings, dealers and assistance requests</x:v>
      </x:c>
      <x:c r="E159" s="136" t="str">
        <x:v>Signed V1</x:v>
      </x:c>
      <x:c r="F159" s="136" t="str">
        <x:v>Completed</x:v>
      </x:c>
      <x:c r="G159" s="137" t="n">
        <x:v>1</x:v>
      </x:c>
      <x:c r="H159" s="136" t="str">
        <x:v>Medium</x:v>
      </x:c>
      <x:c r="I159" s="136" t="str">
        <x:v>Stage 4</x:v>
      </x:c>
      <x:c r="J159" s="136" t="str">
        <x:v>Unassigned</x:v>
      </x:c>
      <x:c r="K159" s="136" t="str">
        <x:v>Admin modules</x:v>
      </x:c>
      <x:c r="L159" s="136" t="str">
        <x:v>Dashboard shows genuine current counts and routes to work queues.</x:v>
      </x:c>
      <x:c r="M159" s="136" t="str">
        <x:v>Count accuracy; empty; performance</x:v>
      </x:c>
      <x:c r="N159" s="136" t="str">
        <x:v>Admin listing edits/status transitions, audit history and user ban/unban controls are implemented.</x:v>
      </x:c>
      <x:c r="O159" s="136" t="str">
        <x:v>Retain in final regression and comprehensive browser QA.</x:v>
      </x:c>
    </x:row>
    <x:row r="160">
      <x:c r="A160" s="135" t="str">
        <x:v>JW-156</x:v>
      </x:c>
      <x:c r="B160" s="135" t="str">
        <x:v>SEO</x:v>
      </x:c>
      <x:c r="C160" s="135" t="str">
        <x:v>Canonical facet registry</x:v>
      </x:c>
      <x:c r="D160" s="136" t="str">
        <x:v>Closed, deterministic filter URL model</x:v>
      </x:c>
      <x:c r="E160" s="136" t="str">
        <x:v>Signed V1</x:v>
      </x:c>
      <x:c r="F160" s="136" t="str">
        <x:v>Completed</x:v>
      </x:c>
      <x:c r="G160" s="137" t="n">
        <x:v>1</x:v>
      </x:c>
      <x:c r="H160" s="136" t="str">
        <x:v>Critical</x:v>
      </x:c>
      <x:c r="I160" s="136" t="str">
        <x:v>Stage 6</x:v>
      </x:c>
      <x:c r="J160" s="136" t="str">
        <x:v>Unassigned</x:v>
      </x:c>
      <x:c r="K160" s="136" t="str">
        <x:v>Taxonomy</x:v>
      </x:c>
      <x:c r="L160" s="136" t="str">
        <x:v>Equivalent result sets resolve to one canonical URL and unknown segments 404.</x:v>
      </x:c>
      <x:c r="M160" s="136" t="str">
        <x:v>37 policy assertions; reorder redirects; collisions</x:v>
      </x:c>
      <x:c r="N160" s="136" t="str">
        <x:v>Facet registry and resolver are implemented.</x:v>
      </x:c>
      <x:c r="O160" s="136" t="str">
        <x:v>Maintain tests for every new facet.</x:v>
      </x:c>
    </x:row>
    <x:row r="161">
      <x:c r="A161" s="135" t="str">
        <x:v>JW-157</x:v>
      </x:c>
      <x:c r="B161" s="135" t="str">
        <x:v>SEO</x:v>
      </x:c>
      <x:c r="C161" s="135" t="str">
        <x:v>Indexation whitelist</x:v>
      </x:c>
      <x:c r="D161" s="136" t="str">
        <x:v>Index valuable facets and noindex thin/range/sorted variants</x:v>
      </x:c>
      <x:c r="E161" s="136" t="str">
        <x:v>Signed V1</x:v>
      </x:c>
      <x:c r="F161" s="136" t="str">
        <x:v>Completed</x:v>
      </x:c>
      <x:c r="G161" s="137" t="n">
        <x:v>1</x:v>
      </x:c>
      <x:c r="H161" s="136" t="str">
        <x:v>Critical</x:v>
      </x:c>
      <x:c r="I161" s="136" t="str">
        <x:v>Stage 6</x:v>
      </x:c>
      <x:c r="J161" s="136" t="str">
        <x:v>Unassigned</x:v>
      </x:c>
      <x:c r="K161" s="136" t="str">
        <x:v>Facet state</x:v>
      </x:c>
      <x:c r="L161" s="136" t="str">
        <x:v>Robots and canonical decisions match policy for all combinations.</x:v>
      </x:c>
      <x:c r="M161" s="136" t="str">
        <x:v>Pure policy tests; rendered metadata</x:v>
      </x:c>
      <x:c r="N161" s="136" t="str">
        <x:v>37 SEO assertions currently pass.</x:v>
      </x:c>
      <x:c r="O161" s="136" t="str">
        <x:v>Add tests when route behavior changes.</x:v>
      </x:c>
    </x:row>
    <x:row r="162">
      <x:c r="A162" s="135" t="str">
        <x:v>JW-158</x:v>
      </x:c>
      <x:c r="B162" s="135" t="str">
        <x:v>SEO</x:v>
      </x:c>
      <x:c r="C162" s="135" t="str">
        <x:v>Dynamic metadata</x:v>
      </x:c>
      <x:c r="D162" s="136" t="str">
        <x:v>Distinct titles, descriptions, canonicals and Open Graph data</x:v>
      </x:c>
      <x:c r="E162" s="136" t="str">
        <x:v>Signed V1</x:v>
      </x:c>
      <x:c r="F162" s="136" t="str">
        <x:v>Completed</x:v>
      </x:c>
      <x:c r="G162" s="137" t="n">
        <x:v>1</x:v>
      </x:c>
      <x:c r="H162" s="136" t="str">
        <x:v>High</x:v>
      </x:c>
      <x:c r="I162" s="136" t="str">
        <x:v>Stage 6</x:v>
      </x:c>
      <x:c r="J162" s="136" t="str">
        <x:v>Unassigned</x:v>
      </x:c>
      <x:c r="K162" s="136" t="str">
        <x:v>Routes/detail data</x:v>
      </x:c>
      <x:c r="L162" s="136" t="str">
        <x:v>Every public page has accurate unique metadata and non-live listings are noindex.</x:v>
      </x:c>
      <x:c r="M162" s="136" t="str">
        <x:v>Sample every route shape; missing images</x:v>
      </x:c>
      <x:c r="N162" s="136" t="str">
        <x:v>Implemented.</x:v>
      </x:c>
      <x:c r="O162" s="136" t="str">
        <x:v>Run production crawl audit.</x:v>
      </x:c>
    </x:row>
    <x:row r="163">
      <x:c r="A163" s="135" t="str">
        <x:v>JW-159</x:v>
      </x:c>
      <x:c r="B163" s="135" t="str">
        <x:v>SEO</x:v>
      </x:c>
      <x:c r="C163" s="135" t="str">
        <x:v>Structured data</x:v>
      </x:c>
      <x:c r="D163" s="136" t="str">
        <x:v>Organization, Website, Vehicle, Breadcrumb and ItemList JSON-LD</x:v>
      </x:c>
      <x:c r="E163" s="136" t="str">
        <x:v>Signed V1</x:v>
      </x:c>
      <x:c r="F163" s="136" t="str">
        <x:v>Partially Implemented</x:v>
      </x:c>
      <x:c r="G163" s="137" t="n">
        <x:v>0.75</x:v>
      </x:c>
      <x:c r="H163" s="136" t="str">
        <x:v>High</x:v>
      </x:c>
      <x:c r="I163" s="136" t="str">
        <x:v>Stage 6</x:v>
      </x:c>
      <x:c r="J163" s="136" t="str">
        <x:v>Unassigned</x:v>
      </x:c>
      <x:c r="K163" s="136" t="str">
        <x:v>Public URLs/media</x:v>
      </x:c>
      <x:c r="L163" s="136" t="str">
        <x:v>Schema validates and uses correct canonical logo/search/listing/image URLs.</x:v>
      </x:c>
      <x:c r="M163" s="136" t="str">
        <x:v>Schema.org validator; all verticals; production origin</x:v>
      </x:c>
      <x:c r="N163" s="136" t="str">
        <x:v>Core JSON-LD exists; parts product-specific schema and production validation remain.</x:v>
      </x:c>
      <x:c r="O163" s="136" t="str">
        <x:v>Validate after deployment and add appropriate parts schema.</x:v>
      </x:c>
    </x:row>
    <x:row r="164">
      <x:c r="A164" s="135" t="str">
        <x:v>JW-160</x:v>
      </x:c>
      <x:c r="B164" s="135" t="str">
        <x:v>SEO</x:v>
      </x:c>
      <x:c r="C164" s="135" t="str">
        <x:v>Sitemap</x:v>
      </x:c>
      <x:c r="D164" s="136" t="str">
        <x:v>Dynamic live listings, dealers and sufficiently populated facet pages</x:v>
      </x:c>
      <x:c r="E164" s="136" t="str">
        <x:v>Signed V1</x:v>
      </x:c>
      <x:c r="F164" s="136" t="str">
        <x:v>Completed</x:v>
      </x:c>
      <x:c r="G164" s="137" t="n">
        <x:v>1</x:v>
      </x:c>
      <x:c r="H164" s="136" t="str">
        <x:v>High</x:v>
      </x:c>
      <x:c r="I164" s="136" t="str">
        <x:v>Stage 6</x:v>
      </x:c>
      <x:c r="J164" s="136" t="str">
        <x:v>Unassigned</x:v>
      </x:c>
      <x:c r="K164" s="136" t="str">
        <x:v>Live DB</x:v>
      </x:c>
      <x:c r="L164" s="136" t="str">
        <x:v>Sitemap contains only canonical indexable URLs and stays under limits.</x:v>
      </x:c>
      <x:c r="M164" s="136" t="str">
        <x:v>Empty/populated DB; 50k boundary; URL origin</x:v>
      </x:c>
      <x:c r="N164" s="136" t="str">
        <x:v>Dynamic sitemap is implemented.</x:v>
      </x:c>
      <x:c r="O164" s="136" t="str">
        <x:v>Load-test generation and plan sharding before 50k URLs.</x:v>
      </x:c>
    </x:row>
    <x:row r="165">
      <x:c r="A165" s="135" t="str">
        <x:v>JW-161</x:v>
      </x:c>
      <x:c r="B165" s="135" t="str">
        <x:v>SEO</x:v>
      </x:c>
      <x:c r="C165" s="135" t="str">
        <x:v>Sitemap build resilience</x:v>
      </x:c>
      <x:c r="D165" s="136" t="str">
        <x:v>Build/deploy does not fail when build-time database is unavailable</x:v>
      </x:c>
      <x:c r="E165" s="136" t="str">
        <x:v>Signed V1</x:v>
      </x:c>
      <x:c r="F165" s="136" t="str">
        <x:v>Partially Implemented</x:v>
      </x:c>
      <x:c r="G165" s="137" t="n">
        <x:v>0.6</x:v>
      </x:c>
      <x:c r="H165" s="136" t="str">
        <x:v>Medium</x:v>
      </x:c>
      <x:c r="I165" s="136" t="str">
        <x:v>Stage 6</x:v>
      </x:c>
      <x:c r="J165" s="136" t="str">
        <x:v>Unassigned</x:v>
      </x:c>
      <x:c r="K165" s="136" t="str">
        <x:v>Deployment environment</x:v>
      </x:c>
      <x:c r="L165" s="136" t="str">
        <x:v>Production build strategy reliably supplies DB or isolates runtime generation.</x:v>
      </x:c>
      <x:c r="M165" s="136" t="str">
        <x:v>Build with/without DB; deployment preview</x:v>
      </x:c>
      <x:c r="N165" s="136" t="str">
        <x:v>Sitemap is force-dynamic, but build still requires DB for page data in this workspace.</x:v>
      </x:c>
      <x:c r="O165" s="136" t="str">
        <x:v>Define staging/build database requirements.</x:v>
      </x:c>
    </x:row>
    <x:row r="166">
      <x:c r="A166" s="135" t="str">
        <x:v>JW-162</x:v>
      </x:c>
      <x:c r="B166" s="135" t="str">
        <x:v>SEO</x:v>
      </x:c>
      <x:c r="C166" s="135" t="str">
        <x:v>Robots policy</x:v>
      </x:c>
      <x:c r="D166" s="136" t="str">
        <x:v>Block non-production indexing and disallow private/utility routes</x:v>
      </x:c>
      <x:c r="E166" s="136" t="str">
        <x:v>Signed V1</x:v>
      </x:c>
      <x:c r="F166" s="136" t="str">
        <x:v>Completed</x:v>
      </x:c>
      <x:c r="G166" s="137" t="n">
        <x:v>1</x:v>
      </x:c>
      <x:c r="H166" s="136" t="str">
        <x:v>Critical</x:v>
      </x:c>
      <x:c r="I166" s="136" t="str">
        <x:v>Stage 6</x:v>
      </x:c>
      <x:c r="J166" s="136" t="str">
        <x:v>Unassigned</x:v>
      </x:c>
      <x:c r="K166" s="136" t="str">
        <x:v>Correct environment flags</x:v>
      </x:c>
      <x:c r="L166" s="136" t="str">
        <x:v>Staging is fully disallowed; production exposes public routes and sitemap.</x:v>
      </x:c>
      <x:c r="M166" s="136" t="str">
        <x:v>Staging/production env render; robots fetch</x:v>
      </x:c>
      <x:c r="N166" s="136" t="str">
        <x:v>robots.ts is environment-aware.</x:v>
      </x:c>
      <x:c r="O166" s="136" t="str">
        <x:v>Verify actual hosting environment variables.</x:v>
      </x:c>
    </x:row>
    <x:row r="167">
      <x:c r="A167" s="135" t="str">
        <x:v>JW-163</x:v>
      </x:c>
      <x:c r="B167" s="135" t="str">
        <x:v>SEO</x:v>
      </x:c>
      <x:c r="C167" s="135" t="str">
        <x:v>Breadcrumbs and internal links</x:v>
      </x:c>
      <x:c r="D167" s="136" t="str">
        <x:v>Crawlable navigation across home, facets, details and dealers</x:v>
      </x:c>
      <x:c r="E167" s="136" t="str">
        <x:v>Signed V1</x:v>
      </x:c>
      <x:c r="F167" s="136" t="str">
        <x:v>Completed</x:v>
      </x:c>
      <x:c r="G167" s="137" t="n">
        <x:v>1</x:v>
      </x:c>
      <x:c r="H167" s="136" t="str">
        <x:v>Medium</x:v>
      </x:c>
      <x:c r="I167" s="136" t="str">
        <x:v>Stage 6</x:v>
      </x:c>
      <x:c r="J167" s="136" t="str">
        <x:v>Unassigned</x:v>
      </x:c>
      <x:c r="K167" s="136" t="str">
        <x:v>Canonical paths</x:v>
      </x:c>
      <x:c r="L167" s="136" t="str">
        <x:v>Links use canonical routes and do not create duplicate facet orderings.</x:v>
      </x:c>
      <x:c r="M167" s="136" t="str">
        <x:v>Crawl; link checker; breadcrumbs schema</x:v>
      </x:c>
      <x:c r="N167" s="136" t="str">
        <x:v>Implemented.</x:v>
      </x:c>
      <x:c r="O167" s="136" t="str">
        <x:v>Repeat route sweep after every navigation change.</x:v>
      </x:c>
    </x:row>
    <x:row r="168">
      <x:c r="A168" s="135" t="str">
        <x:v>JW-164</x:v>
      </x:c>
      <x:c r="B168" s="135" t="str">
        <x:v>SEO</x:v>
      </x:c>
      <x:c r="C168" s="135" t="str">
        <x:v>Expired/sold page policy</x:v>
      </x:c>
      <x:c r="D168" s="136" t="str">
        <x:v>Noindex non-live pages and preserve appropriate user experience</x:v>
      </x:c>
      <x:c r="E168" s="136" t="str">
        <x:v>Signed V1</x:v>
      </x:c>
      <x:c r="F168" s="136" t="str">
        <x:v>Partially Implemented</x:v>
      </x:c>
      <x:c r="G168" s="137" t="n">
        <x:v>0.55</x:v>
      </x:c>
      <x:c r="H168" s="136" t="str">
        <x:v>High</x:v>
      </x:c>
      <x:c r="I168" s="136" t="str">
        <x:v>Stage 6</x:v>
      </x:c>
      <x:c r="J168" s="136" t="str">
        <x:v>Unassigned</x:v>
      </x:c>
      <x:c r="K168" s="136" t="str">
        <x:v>Status lifecycle</x:v>
      </x:c>
      <x:c r="L168" s="136" t="str">
        <x:v>Sold pages follow approved retention policy; private/removed pages are not publicly exposed.</x:v>
      </x:c>
      <x:c r="M168" s="136" t="str">
        <x:v>All statuses; canonical; sitemap/search exclusion</x:v>
      </x:c>
      <x:c r="N168" s="136" t="str">
        <x:v>Metadata noindexes non-active, but private statuses still render publicly.</x:v>
      </x:c>
      <x:c r="O168" s="136" t="str">
        <x:v>Resolve with inactive visibility work.</x:v>
      </x:c>
    </x:row>
    <x:row r="169">
      <x:c r="A169" s="135" t="str">
        <x:v>JW-165</x:v>
      </x:c>
      <x:c r="B169" s="135" t="str">
        <x:v>Security &amp; Privacy</x:v>
      </x:c>
      <x:c r="C169" s="135" t="str">
        <x:v>Security headers</x:v>
      </x:c>
      <x:c r="D169" s="136" t="str">
        <x:v>CSP, HSTS, nosniff, frame, referrer and permissions policies</x:v>
      </x:c>
      <x:c r="E169" s="136" t="str">
        <x:v>Signed V1</x:v>
      </x:c>
      <x:c r="F169" s="136" t="str">
        <x:v>Completed</x:v>
      </x:c>
      <x:c r="G169" s="137" t="n">
        <x:v>1</x:v>
      </x:c>
      <x:c r="H169" s="136" t="str">
        <x:v>Critical</x:v>
      </x:c>
      <x:c r="I169" s="136" t="str">
        <x:v>Stage 6</x:v>
      </x:c>
      <x:c r="J169" s="136" t="str">
        <x:v>Unassigned</x:v>
      </x:c>
      <x:c r="K169" s="136" t="str">
        <x:v>HTTPS hosting</x:v>
      </x:c>
      <x:c r="L169" s="136" t="str">
        <x:v>Headers are present and do not break production hydration/media/analytics.</x:v>
      </x:c>
      <x:c r="M169" s="136" t="str">
        <x:v>Header scan; CSP console; HTTPS</x:v>
      </x:c>
      <x:c r="N169" s="136" t="str">
        <x:v>Configured in next.config.ts.</x:v>
      </x:c>
      <x:c r="O169" s="136" t="str">
        <x:v>Validate on deployed staging; tighten CSP where possible.</x:v>
      </x:c>
    </x:row>
    <x:row r="170">
      <x:c r="A170" s="135" t="str">
        <x:v>JW-166</x:v>
      </x:c>
      <x:c r="B170" s="135" t="str">
        <x:v>Security &amp; Privacy</x:v>
      </x:c>
      <x:c r="C170" s="135" t="str">
        <x:v>Authorization coverage</x:v>
      </x:c>
      <x:c r="D170" s="136" t="str">
        <x:v>Ownership/admin checks on every write and private read</x:v>
      </x:c>
      <x:c r="E170" s="136" t="str">
        <x:v>Signed V1</x:v>
      </x:c>
      <x:c r="F170" s="136" t="str">
        <x:v>Partially Implemented</x:v>
      </x:c>
      <x:c r="G170" s="137" t="n">
        <x:v>0.9</x:v>
      </x:c>
      <x:c r="H170" s="136" t="str">
        <x:v>Critical</x:v>
      </x:c>
      <x:c r="I170" s="136" t="str">
        <x:v>Stage 1</x:v>
      </x:c>
      <x:c r="J170" s="136" t="str">
        <x:v>Unassigned</x:v>
      </x:c>
      <x:c r="K170" s="136" t="str">
        <x:v>All CRUD actions</x:v>
      </x:c>
      <x:c r="L170" s="136" t="str">
        <x:v>Every mutation and private resource has explicit server-side authorization tests.</x:v>
      </x:c>
      <x:c r="M170" s="136" t="str">
        <x:v>IDOR; direct action calls; cross-user access</x:v>
      </x:c>
      <x:c r="N170" s="136" t="str">
        <x:v>Server ownership checks now have desktop/mobile browser coverage: another seller receives rendered not-found page and no edit controls; owner can edit price and delete own bike, with DB/media/public URL cleanup. Remaining direct-action IDOR matrix is open.</x:v>
      </x:c>
      <x:c r="O170" s="136" t="str">
        <x:v>Cover direct cross-user action calls and private media references across remaining modules.</x:v>
      </x:c>
    </x:row>
    <x:row r="171">
      <x:c r="A171" s="135" t="str">
        <x:v>JW-167</x:v>
      </x:c>
      <x:c r="B171" s="135" t="str">
        <x:v>Security &amp; Privacy</x:v>
      </x:c>
      <x:c r="C171" s="135" t="str">
        <x:v>Input validation</x:v>
      </x:c>
      <x:c r="D171" s="136" t="str">
        <x:v>Server-side schemas and field-specific user messages</x:v>
      </x:c>
      <x:c r="E171" s="136" t="str">
        <x:v>Signed V1</x:v>
      </x:c>
      <x:c r="F171" s="136" t="str">
        <x:v>Partially Implemented</x:v>
      </x:c>
      <x:c r="G171" s="137" t="n">
        <x:v>0.92</x:v>
      </x:c>
      <x:c r="H171" s="136" t="str">
        <x:v>Critical</x:v>
      </x:c>
      <x:c r="I171" s="136" t="str">
        <x:v>Stage 1</x:v>
      </x:c>
      <x:c r="J171" s="136" t="str">
        <x:v>Unassigned</x:v>
      </x:c>
      <x:c r="K171" s="136" t="str">
        <x:v>All forms/actions</x:v>
      </x:c>
      <x:c r="L171" s="136" t="str">
        <x:v>Every external input is parsed, bounded and returns safe feedback.</x:v>
      </x:c>
      <x:c r="M171" s="136" t="str">
        <x:v>Tampered forms; oversized text; invalid IDs</x:v>
      </x:c>
      <x:c r="N171" s="136" t="str">
        <x:v>Car, bike and parts schema bounds now return field-specific messages; car registration and auction combinations reject contradictory submissions. Seller validation checks pass. Cross-feature tampering review remains.</x:v>
      </x:c>
      <x:c r="O171" s="136" t="str">
        <x:v>Audit remaining forms and direct server-action inputs; add negative browser coverage for auth, listing edit/delete and admin permissions.</x:v>
      </x:c>
    </x:row>
    <x:row r="172">
      <x:c r="A172" s="135" t="str">
        <x:v>JW-168</x:v>
      </x:c>
      <x:c r="B172" s="135" t="str">
        <x:v>Security &amp; Privacy</x:v>
      </x:c>
      <x:c r="C172" s="135" t="str">
        <x:v>Rate limiting</x:v>
      </x:c>
      <x:c r="D172" s="136" t="str">
        <x:v>Protect uploads, reports, contact reveals, inspection and listing submission</x:v>
      </x:c>
      <x:c r="E172" s="136" t="str">
        <x:v>Signed V1</x:v>
      </x:c>
      <x:c r="F172" s="136" t="str">
        <x:v>Pending</x:v>
      </x:c>
      <x:c r="G172" s="137" t="n">
        <x:v>0</x:v>
      </x:c>
      <x:c r="H172" s="136" t="str">
        <x:v>Critical</x:v>
      </x:c>
      <x:c r="I172" s="136" t="str">
        <x:v>Stage 1</x:v>
      </x:c>
      <x:c r="J172" s="136" t="str">
        <x:v>Unassigned</x:v>
      </x:c>
      <x:c r="K172" s="136" t="str">
        <x:v>Rate-limit store and proxy configuration</x:v>
      </x:c>
      <x:c r="L172" s="136" t="str">
        <x:v>High-risk endpoints resist burst/distributed abuse with observable limits.</x:v>
      </x:c>
      <x:c r="M172" s="136" t="str">
        <x:v>Per-IP/user; proxy spoof; reset; fail-open/closed</x:v>
      </x:c>
      <x:c r="N172" s="136" t="str">
        <x:v>No general rate limiting exists.</x:v>
      </x:c>
      <x:c r="O172" s="136" t="str">
        <x:v>Implement before public launch.</x:v>
      </x:c>
    </x:row>
    <x:row r="173">
      <x:c r="A173" s="135" t="str">
        <x:v>JW-169</x:v>
      </x:c>
      <x:c r="B173" s="135" t="str">
        <x:v>Security &amp; Privacy</x:v>
      </x:c>
      <x:c r="C173" s="135" t="str">
        <x:v>Sensitive data handling</x:v>
      </x:c>
      <x:c r="D173" s="136" t="str">
        <x:v>Never commit .env, passwords, raw session tokens or production customer data</x:v>
      </x:c>
      <x:c r="E173" s="136" t="str">
        <x:v>Signed V1</x:v>
      </x:c>
      <x:c r="F173" s="136" t="str">
        <x:v>Completed</x:v>
      </x:c>
      <x:c r="G173" s="137" t="n">
        <x:v>1</x:v>
      </x:c>
      <x:c r="H173" s="136" t="str">
        <x:v>Critical</x:v>
      </x:c>
      <x:c r="I173" s="136" t="str">
        <x:v>Stage 0</x:v>
      </x:c>
      <x:c r="J173" s="136" t="str">
        <x:v>Unassigned</x:v>
      </x:c>
      <x:c r="K173" s="136" t="str">
        <x:v>Git workflow</x:v>
      </x:c>
      <x:c r="L173" s="136" t="str">
        <x:v>Secret scan is clean and logs/errors avoid sensitive values.</x:v>
      </x:c>
      <x:c r="M173" s="136" t="str">
        <x:v>Repository secret scan; logging review</x:v>
      </x:c>
      <x:c r="N173" s="136" t="str">
        <x:v>.env is ignored and repository guidance is explicit.</x:v>
      </x:c>
      <x:c r="O173" s="136" t="str">
        <x:v>Add automated secret scanning in CI.</x:v>
      </x:c>
    </x:row>
    <x:row r="174">
      <x:c r="A174" s="135" t="str">
        <x:v>JW-170</x:v>
      </x:c>
      <x:c r="B174" s="135" t="str">
        <x:v>Security &amp; Privacy</x:v>
      </x:c>
      <x:c r="C174" s="135" t="str">
        <x:v>Privacy policy and consent</x:v>
      </x:c>
      <x:c r="D174" s="136" t="str">
        <x:v>Disclose accounts, cookies, analytics, saved searches and contact handling</x:v>
      </x:c>
      <x:c r="E174" s="136" t="str">
        <x:v>Signed V1</x:v>
      </x:c>
      <x:c r="F174" s="136" t="str">
        <x:v>Partially Implemented</x:v>
      </x:c>
      <x:c r="G174" s="137" t="n">
        <x:v>0.75</x:v>
      </x:c>
      <x:c r="H174" s="136" t="str">
        <x:v>Critical</x:v>
      </x:c>
      <x:c r="I174" s="136" t="str">
        <x:v>Stage 6</x:v>
      </x:c>
      <x:c r="J174" s="136" t="str">
        <x:v>Unassigned</x:v>
      </x:c>
      <x:c r="K174" s="136" t="str">
        <x:v>Approved legal content</x:v>
      </x:c>
      <x:c r="L174" s="136" t="str">
        <x:v>Published policy accurately describes actual data processing and retention.</x:v>
      </x:c>
      <x:c r="M174" s="136" t="str">
        <x:v>Legal review; link availability; consent flows</x:v>
      </x:c>
      <x:c r="N174" s="136" t="str">
        <x:v>Privacy Policy is live and linked. A final provider/data-retention review and any required consent UI remain for launch hardening.</x:v>
      </x:c>
      <x:c r="O174" s="136" t="str">
        <x:v>Validate final provider disclosures and consent requirements before production launch.</x:v>
      </x:c>
    </x:row>
    <x:row r="175">
      <x:c r="A175" s="135" t="str">
        <x:v>JW-171</x:v>
      </x:c>
      <x:c r="B175" s="135" t="str">
        <x:v>Security &amp; Privacy</x:v>
      </x:c>
      <x:c r="C175" s="135" t="str">
        <x:v>Data retention/deletion</x:v>
      </x:c>
      <x:c r="D175" s="136" t="str">
        <x:v>Define cleanup for sessions, reports, accounts, uploads and assistance requests</x:v>
      </x:c>
      <x:c r="E175" s="136" t="str">
        <x:v>Signed V1</x:v>
      </x:c>
      <x:c r="F175" s="136" t="str">
        <x:v>Pending</x:v>
      </x:c>
      <x:c r="G175" s="137" t="n">
        <x:v>0</x:v>
      </x:c>
      <x:c r="H175" s="136" t="str">
        <x:v>High</x:v>
      </x:c>
      <x:c r="I175" s="136" t="str">
        <x:v>Stage 6</x:v>
      </x:c>
      <x:c r="J175" s="136" t="str">
        <x:v>Unassigned</x:v>
      </x:c>
      <x:c r="K175" s="136" t="str">
        <x:v>Privacy policy and operations</x:v>
      </x:c>
      <x:c r="L175" s="136" t="str">
        <x:v>Retention schedule and deletion workflows are documented and executable.</x:v>
      </x:c>
      <x:c r="M175" s="136" t="str">
        <x:v>Retention job; account deletion; backup implications</x:v>
      </x:c>
      <x:c r="N175" s="136" t="str">
        <x:v>Only expired-session purge exists.</x:v>
      </x:c>
      <x:c r="O175" s="136" t="str">
        <x:v>Define policy and implement necessary tools.</x:v>
      </x:c>
    </x:row>
    <x:row r="176">
      <x:c r="A176" s="135" t="str">
        <x:v>JW-172</x:v>
      </x:c>
      <x:c r="B176" s="135" t="str">
        <x:v>Security &amp; Privacy</x:v>
      </x:c>
      <x:c r="C176" s="135" t="str">
        <x:v>Security review</x:v>
      </x:c>
      <x:c r="D176" s="136" t="str">
        <x:v>Pre-launch application and infrastructure assessment</x:v>
      </x:c>
      <x:c r="E176" s="136" t="str">
        <x:v>Signed V1</x:v>
      </x:c>
      <x:c r="F176" s="136" t="str">
        <x:v>Pending</x:v>
      </x:c>
      <x:c r="G176" s="137" t="n">
        <x:v>0</x:v>
      </x:c>
      <x:c r="H176" s="136" t="str">
        <x:v>Critical</x:v>
      </x:c>
      <x:c r="I176" s="136" t="str">
        <x:v>Stage 6</x:v>
      </x:c>
      <x:c r="J176" s="136" t="str">
        <x:v>Unassigned</x:v>
      </x:c>
      <x:c r="K176" s="136" t="str">
        <x:v>Feature-complete staging</x:v>
      </x:c>
      <x:c r="L176" s="136" t="str">
        <x:v>No unresolved critical/high issue remains; remediation is regression-tested.</x:v>
      </x:c>
      <x:c r="M176" s="136" t="str">
        <x:v>OWASP review; dependency; auth; IDOR; upload; headers</x:v>
      </x:c>
      <x:c r="N176" s="136" t="str">
        <x:v>No formal review has been completed.</x:v>
      </x:c>
      <x:c r="O176" s="136" t="str">
        <x:v>Schedule after V1 feature completion.</x:v>
      </x:c>
    </x:row>
    <x:row r="177">
      <x:c r="A177" s="135" t="str">
        <x:v>JW-173</x:v>
      </x:c>
      <x:c r="B177" s="135" t="str">
        <x:v>Quality &amp; Performance</x:v>
      </x:c>
      <x:c r="C177" s="135" t="str">
        <x:v>TypeScript verification</x:v>
      </x:c>
      <x:c r="D177" s="136" t="str">
        <x:v>Strict compile check</x:v>
      </x:c>
      <x:c r="E177" s="136" t="str">
        <x:v>Technical Foundation</x:v>
      </x:c>
      <x:c r="F177" s="136" t="str">
        <x:v>Completed</x:v>
      </x:c>
      <x:c r="G177" s="137" t="n">
        <x:v>1</x:v>
      </x:c>
      <x:c r="H177" s="136" t="str">
        <x:v>High</x:v>
      </x:c>
      <x:c r="I177" s="136" t="str">
        <x:v>Stage 0</x:v>
      </x:c>
      <x:c r="J177" s="136" t="str">
        <x:v>Unassigned</x:v>
      </x:c>
      <x:c r="K177" s="136" t="str">
        <x:v>Codebase</x:v>
      </x:c>
      <x:c r="L177" s="136" t="str">
        <x:v>npm run typecheck returns zero errors.</x:v>
      </x:c>
      <x:c r="M177" s="136" t="str">
        <x:v>Run on every PR</x:v>
      </x:c>
      <x:c r="N177" s="136" t="str">
        <x:v>Passed on current homepage branch.</x:v>
      </x:c>
      <x:c r="O177" s="136" t="str">
        <x:v>Enforce in CI.</x:v>
      </x:c>
    </x:row>
    <x:row r="178">
      <x:c r="A178" s="135" t="str">
        <x:v>JW-174</x:v>
      </x:c>
      <x:c r="B178" s="135" t="str">
        <x:v>Quality &amp; Performance</x:v>
      </x:c>
      <x:c r="C178" s="135" t="str">
        <x:v>Lint verification</x:v>
      </x:c>
      <x:c r="D178" s="136" t="str">
        <x:v>ESLint/Next rules</x:v>
      </x:c>
      <x:c r="E178" s="136" t="str">
        <x:v>Technical Foundation</x:v>
      </x:c>
      <x:c r="F178" s="136" t="str">
        <x:v>Completed</x:v>
      </x:c>
      <x:c r="G178" s="137" t="n">
        <x:v>1</x:v>
      </x:c>
      <x:c r="H178" s="136" t="str">
        <x:v>High</x:v>
      </x:c>
      <x:c r="I178" s="136" t="str">
        <x:v>Stage 0</x:v>
      </x:c>
      <x:c r="J178" s="136" t="str">
        <x:v>Unassigned</x:v>
      </x:c>
      <x:c r="K178" s="136" t="str">
        <x:v>Codebase</x:v>
      </x:c>
      <x:c r="L178" s="136" t="str">
        <x:v>Lint returns zero warnings/errors.</x:v>
      </x:c>
      <x:c r="M178" s="136" t="str">
        <x:v>Run on every PR</x:v>
      </x:c>
      <x:c r="N178" s="136" t="str">
        <x:v>Passed on current homepage branch; command is deprecated for Next 16.</x:v>
      </x:c>
      <x:c r="O178" s="136" t="str">
        <x:v>Migrate to ESLint CLI before Next 16.</x:v>
      </x:c>
    </x:row>
    <x:row r="179">
      <x:c r="A179" s="135" t="str">
        <x:v>JW-175</x:v>
      </x:c>
      <x:c r="B179" s="135" t="str">
        <x:v>Quality &amp; Performance</x:v>
      </x:c>
      <x:c r="C179" s="135" t="str">
        <x:v>SEO test suite</x:v>
      </x:c>
      <x:c r="D179" s="136" t="str">
        <x:v>Pure assertions for URL, canonical and title logic</x:v>
      </x:c>
      <x:c r="E179" s="136" t="str">
        <x:v>Technical Foundation</x:v>
      </x:c>
      <x:c r="F179" s="136" t="str">
        <x:v>Completed</x:v>
      </x:c>
      <x:c r="G179" s="137" t="n">
        <x:v>1</x:v>
      </x:c>
      <x:c r="H179" s="136" t="str">
        <x:v>High</x:v>
      </x:c>
      <x:c r="I179" s="136" t="str">
        <x:v>Stage 6</x:v>
      </x:c>
      <x:c r="J179" s="136" t="str">
        <x:v>Unassigned</x:v>
      </x:c>
      <x:c r="K179" s="136" t="str">
        <x:v>SEO code</x:v>
      </x:c>
      <x:c r="L179" s="136" t="str">
        <x:v>All assertions pass and new policy cases have tests.</x:v>
      </x:c>
      <x:c r="M179" s="136" t="str">
        <x:v>npm run check:seo</x:v>
      </x:c>
      <x:c r="N179" s="136" t="str">
        <x:v>37/37 passed on current branch.</x:v>
      </x:c>
      <x:c r="O179" s="136" t="str">
        <x:v>Expand with any new facet.</x:v>
      </x:c>
    </x:row>
    <x:row r="180">
      <x:c r="A180" s="135" t="str">
        <x:v>JW-176</x:v>
      </x:c>
      <x:c r="B180" s="135" t="str">
        <x:v>Quality &amp; Performance</x:v>
      </x:c>
      <x:c r="C180" s="135" t="str">
        <x:v>Production build</x:v>
      </x:c>
      <x:c r="D180" s="136" t="str">
        <x:v>Optimized Next.js build</x:v>
      </x:c>
      <x:c r="E180" s="136" t="str">
        <x:v>Technical Foundation</x:v>
      </x:c>
      <x:c r="F180" s="136" t="str">
        <x:v>Completed</x:v>
      </x:c>
      <x:c r="G180" s="137" t="n">
        <x:v>1</x:v>
      </x:c>
      <x:c r="H180" s="136" t="str">
        <x:v>Critical</x:v>
      </x:c>
      <x:c r="I180" s="136" t="str">
        <x:v>Stage 6</x:v>
      </x:c>
      <x:c r="J180" s="136" t="str">
        <x:v>Unassigned</x:v>
      </x:c>
      <x:c r="K180" s="136" t="str">
        <x:v>Configured database</x:v>
      </x:c>
      <x:c r="L180" s="136" t="str">
        <x:v>Build succeeds from clean checkout with documented environment.</x:v>
      </x:c>
      <x:c r="M180" s="136" t="str">
        <x:v>Clean npm ci; build with staging DB</x:v>
      </x:c>
      <x:c r="N180" s="136" t="str">
        <x:v>Production build passed on 8 Sep 2026 using build:safe; maximum First Load JS was 128 kB.</x:v>
      </x:c>
      <x:c r="O180" s="136" t="str">
        <x:v>Repeat after Stage 6.1 and at the final launch gate.</x:v>
      </x:c>
    </x:row>
    <x:row r="181">
      <x:c r="A181" s="135" t="str">
        <x:v>JW-177</x:v>
      </x:c>
      <x:c r="B181" s="135" t="str">
        <x:v>Quality &amp; Performance</x:v>
      </x:c>
      <x:c r="C181" s="135" t="str">
        <x:v>Core functional E2E coverage</x:v>
      </x:c>
      <x:c r="D181" s="136" t="str">
        <x:v>Registration through contact, seller listing, dealer and moderation journeys</x:v>
      </x:c>
      <x:c r="E181" s="136" t="str">
        <x:v>Technical Foundation</x:v>
      </x:c>
      <x:c r="F181" s="136" t="str">
        <x:v>Partially Implemented</x:v>
      </x:c>
      <x:c r="G181" s="137" t="n">
        <x:v>0.94</x:v>
      </x:c>
      <x:c r="H181" s="136" t="str">
        <x:v>Critical</x:v>
      </x:c>
      <x:c r="I181" s="136" t="str">
        <x:v>Stage 6</x:v>
      </x:c>
      <x:c r="J181" s="136" t="str">
        <x:v>Unassigned</x:v>
      </x:c>
      <x:c r="K181" s="136" t="str">
        <x:v>E2E framework</x:v>
      </x:c>
      <x:c r="L181" s="136" t="str">
        <x:v>Critical launch journeys run automatically and pass.</x:v>
      </x:c>
      <x:c r="M181" s="136" t="str">
        <x:v>Happy/negative/authz/mobile</x:v>
      </x:c>
      <x:c r="N181" s="136" t="str">
        <x:v>Desktop/mobile Chromium: 51 passed, 1 desktop skip in isolated PostgreSQL. Verified-email registration and reset token expiry/reuse/session revocation join seller/buyer/dealer, inspection, assistance, moderation, ban/unban and report threshold; 100-route sweep reports 0 issues.</x:v>
      </x:c>
      <x:c r="O181" s="136" t="str">
        <x:v>Cover authenticated reports, linked inspection and remaining negative/direct-action paths; add Safari/mobile device acceptance.</x:v>
      </x:c>
    </x:row>
    <x:row r="182">
      <x:c r="A182" s="135" t="str">
        <x:v>JW-178</x:v>
      </x:c>
      <x:c r="B182" s="135" t="str">
        <x:v>Quality &amp; Performance</x:v>
      </x:c>
      <x:c r="C182" s="135" t="str">
        <x:v>Mobile browser QA</x:v>
      </x:c>
      <x:c r="D182" s="136" t="str">
        <x:v>Chrome Android and Safari iPhone behavior</x:v>
      </x:c>
      <x:c r="E182" s="136" t="str">
        <x:v>Technical Foundation</x:v>
      </x:c>
      <x:c r="F182" s="136" t="str">
        <x:v>Partially Implemented</x:v>
      </x:c>
      <x:c r="G182" s="137" t="n">
        <x:v>0.5</x:v>
      </x:c>
      <x:c r="H182" s="136" t="str">
        <x:v>Critical</x:v>
      </x:c>
      <x:c r="I182" s="136" t="str">
        <x:v>Stage 6</x:v>
      </x:c>
      <x:c r="J182" s="136" t="str">
        <x:v>Unassigned</x:v>
      </x:c>
      <x:c r="K182" s="136" t="str">
        <x:v>Feature-complete staging</x:v>
      </x:c>
      <x:c r="L182" s="136" t="str">
        <x:v>Core journeys work at mobile widths without keyboard, viewport or upload defects.</x:v>
      </x:c>
      <x:c r="M182" s="136" t="str">
        <x:v>Real/simulated devices; slow network</x:v>
      </x:c>
      <x:c r="N182" s="136" t="str">
        <x:v>Simulated Android Chromium passes search, sign-in, dealer registration, all three listing publications, photo upload, phone reveal, moderation and viewport width.</x:v>
      </x:c>
      <x:c r="O182" s="136" t="str">
        <x:v>Add simulated Safari/iPhone and mobile keyboard/upload checks; real-device review remains parked.</x:v>
      </x:c>
    </x:row>
    <x:row r="183">
      <x:c r="A183" s="135" t="str">
        <x:v>JW-179</x:v>
      </x:c>
      <x:c r="B183" s="135" t="str">
        <x:v>Quality &amp; Performance</x:v>
      </x:c>
      <x:c r="C183" s="135" t="str">
        <x:v>Accessibility audit</x:v>
      </x:c>
      <x:c r="D183" s="136" t="str">
        <x:v>WCAG-oriented automated and manual review</x:v>
      </x:c>
      <x:c r="E183" s="136" t="str">
        <x:v>Technical Foundation</x:v>
      </x:c>
      <x:c r="F183" s="136" t="str">
        <x:v>Pending</x:v>
      </x:c>
      <x:c r="G183" s="137" t="n">
        <x:v>0</x:v>
      </x:c>
      <x:c r="H183" s="136" t="str">
        <x:v>High</x:v>
      </x:c>
      <x:c r="I183" s="136" t="str">
        <x:v>Stage 6</x:v>
      </x:c>
      <x:c r="J183" s="136" t="str">
        <x:v>Unassigned</x:v>
      </x:c>
      <x:c r="K183" s="136" t="str">
        <x:v>Feature-complete UI</x:v>
      </x:c>
      <x:c r="L183" s="136" t="str">
        <x:v>No critical keyboard, label, focus, contrast or zoom failure remains.</x:v>
      </x:c>
      <x:c r="M183" s="136" t="str">
        <x:v>axe; keyboard; screen reader spot checks</x:v>
      </x:c>
      <x:c r="N183" s="136" t="str">
        <x:v>Accessibility intent exists but no recorded audit.</x:v>
      </x:c>
      <x:c r="O183" s="136" t="str">
        <x:v>Run per feature and final site-wide audit.</x:v>
      </x:c>
    </x:row>
    <x:row r="184">
      <x:c r="A184" s="135" t="str">
        <x:v>JW-180</x:v>
      </x:c>
      <x:c r="B184" s="135" t="str">
        <x:v>Quality &amp; Performance</x:v>
      </x:c>
      <x:c r="C184" s="135" t="str">
        <x:v>Performance budget</x:v>
      </x:c>
      <x:c r="D184" s="136" t="str">
        <x:v>First Load JS under 150 KB and acceptable Core Web Vitals</x:v>
      </x:c>
      <x:c r="E184" s="136" t="str">
        <x:v>Technical Foundation</x:v>
      </x:c>
      <x:c r="F184" s="136" t="str">
        <x:v>Partially Implemented</x:v>
      </x:c>
      <x:c r="G184" s="137" t="n">
        <x:v>0.9</x:v>
      </x:c>
      <x:c r="H184" s="136" t="str">
        <x:v>High</x:v>
      </x:c>
      <x:c r="I184" s="136" t="str">
        <x:v>Stage 6</x:v>
      </x:c>
      <x:c r="J184" s="136" t="str">
        <x:v>Unassigned</x:v>
      </x:c>
      <x:c r="K184" s="136" t="str">
        <x:v>Production-like media/data</x:v>
      </x:c>
      <x:c r="L184" s="136" t="str">
        <x:v>Public routes meet JS budget and agreed LCP/CLS/INP targets on mobile.</x:v>
      </x:c>
      <x:c r="M184" s="136" t="str">
        <x:v>Bundle report; Lighthouse; 4G profile</x:v>
      </x:c>
      <x:c r="N184" s="136" t="str">
        <x:v>30 Sep production build passes with max First Load JS 128 kB, below the 150 kB project ceiling; Sep 9 changes removed duplicate account queries and unused homepage counts. Staging Web Vitals/load acceptance remains open.</x:v>
      </x:c>
      <x:c r="O184" s="136" t="str">
        <x:v>Measure Core Web Vitals and browse query/load behavior on production-like staging before launch.</x:v>
      </x:c>
    </x:row>
    <x:row r="185">
      <x:c r="A185" s="135" t="str">
        <x:v>JW-181</x:v>
      </x:c>
      <x:c r="B185" s="135" t="str">
        <x:v>Quality &amp; Performance</x:v>
      </x:c>
      <x:c r="C185" s="135" t="str">
        <x:v>Load testing</x:v>
      </x:c>
      <x:c r="D185" s="136" t="str">
        <x:v>20,000 listings and up to 500 concurrent users</x:v>
      </x:c>
      <x:c r="E185" s="136" t="str">
        <x:v>Technical Foundation</x:v>
      </x:c>
      <x:c r="F185" s="136" t="str">
        <x:v>Pending</x:v>
      </x:c>
      <x:c r="G185" s="137" t="n">
        <x:v>0</x:v>
      </x:c>
      <x:c r="H185" s="136" t="str">
        <x:v>Critical</x:v>
      </x:c>
      <x:c r="I185" s="136" t="str">
        <x:v>Stage 6</x:v>
      </x:c>
      <x:c r="J185" s="136" t="str">
        <x:v>Unassigned</x:v>
      </x:c>
      <x:c r="K185" s="136" t="str">
        <x:v>Production-like staging</x:v>
      </x:c>
      <x:c r="L185" s="136" t="str">
        <x:v>Search, details, login/contact and writes meet response/error thresholds without DB exhaustion.</x:v>
      </x:c>
      <x:c r="M185" s="136" t="str">
        <x:v>Ramp/soak/spike; query plans; pool limits</x:v>
      </x:c>
      <x:c r="N185" s="136" t="str">
        <x:v>No load test performed.</x:v>
      </x:c>
      <x:c r="O185" s="136" t="str">
        <x:v>Create dataset and execute before launch.</x:v>
      </x:c>
    </x:row>
    <x:row r="186">
      <x:c r="A186" s="135" t="str">
        <x:v>JW-182</x:v>
      </x:c>
      <x:c r="B186" s="135" t="str">
        <x:v>Quality &amp; Performance</x:v>
      </x:c>
      <x:c r="C186" s="135" t="str">
        <x:v>Regression checklist</x:v>
      </x:c>
      <x:c r="D186" s="136" t="str">
        <x:v>Repeatable manual acceptance checklist per module</x:v>
      </x:c>
      <x:c r="E186" s="136" t="str">
        <x:v>Technical Foundation</x:v>
      </x:c>
      <x:c r="F186" s="136" t="str">
        <x:v>Pending</x:v>
      </x:c>
      <x:c r="G186" s="137" t="n">
        <x:v>0</x:v>
      </x:c>
      <x:c r="H186" s="136" t="str">
        <x:v>High</x:v>
      </x:c>
      <x:c r="I186" s="136" t="str">
        <x:v>Stage 1</x:v>
      </x:c>
      <x:c r="J186" s="136" t="str">
        <x:v>Unassigned</x:v>
      </x:c>
      <x:c r="K186" s="136" t="str">
        <x:v>Tracker and test cases</x:v>
      </x:c>
      <x:c r="L186" s="136" t="str">
        <x:v>Every completed feature has signed test evidence before merge.</x:v>
      </x:c>
      <x:c r="M186" s="136" t="str">
        <x:v>Checklist review; defect retest</x:v>
      </x:c>
      <x:c r="N186" s="136" t="str">
        <x:v>Process is informal.</x:v>
      </x:c>
      <x:c r="O186" s="136" t="str">
        <x:v>Use this workbook's Test Matrix for feature sign-off.</x:v>
      </x:c>
    </x:row>
    <x:row r="187">
      <x:c r="A187" s="135" t="str">
        <x:v>JW-183</x:v>
      </x:c>
      <x:c r="B187" s="135" t="str">
        <x:v>Content &amp; Legal</x:v>
      </x:c>
      <x:c r="C187" s="135" t="str">
        <x:v>About JaniWheels</x:v>
      </x:c>
      <x:c r="D187" s="136" t="str">
        <x:v>Approved company/marketplace information page</x:v>
      </x:c>
      <x:c r="E187" s="136" t="str">
        <x:v>Signed V1</x:v>
      </x:c>
      <x:c r="F187" s="136" t="str">
        <x:v>Completed</x:v>
      </x:c>
      <x:c r="G187" s="137" t="n">
        <x:v>1</x:v>
      </x:c>
      <x:c r="H187" s="136" t="str">
        <x:v>Medium</x:v>
      </x:c>
      <x:c r="I187" s="136" t="str">
        <x:v>Stage 6</x:v>
      </x:c>
      <x:c r="J187" s="136" t="str">
        <x:v>Unassigned</x:v>
      </x:c>
      <x:c r="K187" s="136" t="str">
        <x:v>Approved copy</x:v>
      </x:c>
      <x:c r="L187" s="136" t="str">
        <x:v>Page is accurate, responsive, indexable and linked from footer.</x:v>
      </x:c>
      <x:c r="M187" s="136" t="str">
        <x:v>Content review; metadata; links</x:v>
      </x:c>
      <x:c r="N187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7" s="136" t="str">
        <x:v>Retain in final content, legal, branding, accessibility and responsive acceptance review.</x:v>
      </x:c>
    </x:row>
    <x:row r="188">
      <x:c r="A188" s="135" t="str">
        <x:v>JW-184</x:v>
      </x:c>
      <x:c r="B188" s="135" t="str">
        <x:v>Content &amp; Legal</x:v>
      </x:c>
      <x:c r="C188" s="135" t="str">
        <x:v>Contact page</x:v>
      </x:c>
      <x:c r="D188" s="136" t="str">
        <x:v>Approved business contact channels and enquiry route</x:v>
      </x:c>
      <x:c r="E188" s="136" t="str">
        <x:v>Signed V1</x:v>
      </x:c>
      <x:c r="F188" s="136" t="str">
        <x:v>Completed</x:v>
      </x:c>
      <x:c r="G188" s="137" t="n">
        <x:v>1</x:v>
      </x:c>
      <x:c r="H188" s="136" t="str">
        <x:v>High</x:v>
      </x:c>
      <x:c r="I188" s="136" t="str">
        <x:v>Stage 6</x:v>
      </x:c>
      <x:c r="J188" s="136" t="str">
        <x:v>Unassigned</x:v>
      </x:c>
      <x:c r="K188" s="136" t="str">
        <x:v>Contact details/process</x:v>
      </x:c>
      <x:c r="L188" s="136" t="str">
        <x:v>Visitors can contact JaniWheels and submissions reach the responsible team.</x:v>
      </x:c>
      <x:c r="M188" s="136" t="str">
        <x:v>Validation; spam; delivery; privacy</x:v>
      </x:c>
      <x:c r="N188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8" s="136" t="str">
        <x:v>Retain in final content, legal, branding, accessibility and responsive acceptance review.</x:v>
      </x:c>
    </x:row>
    <x:row r="189">
      <x:c r="A189" s="135" t="str">
        <x:v>JW-185</x:v>
      </x:c>
      <x:c r="B189" s="135" t="str">
        <x:v>Content &amp; Legal</x:v>
      </x:c>
      <x:c r="C189" s="135" t="str">
        <x:v>Terms and Conditions</x:v>
      </x:c>
      <x:c r="D189" s="136" t="str">
        <x:v>Marketplace usage, listings, moderation and liability terms</x:v>
      </x:c>
      <x:c r="E189" s="136" t="str">
        <x:v>Signed V1</x:v>
      </x:c>
      <x:c r="F189" s="136" t="str">
        <x:v>Completed</x:v>
      </x:c>
      <x:c r="G189" s="137" t="n">
        <x:v>1</x:v>
      </x:c>
      <x:c r="H189" s="136" t="str">
        <x:v>Critical</x:v>
      </x:c>
      <x:c r="I189" s="136" t="str">
        <x:v>Stage 6</x:v>
      </x:c>
      <x:c r="J189" s="136" t="str">
        <x:v>Unassigned</x:v>
      </x:c>
      <x:c r="K189" s="136" t="str">
        <x:v>Legal approval</x:v>
      </x:c>
      <x:c r="L189" s="136" t="str">
        <x:v>Approved terms are accessible, versioned and linked at account/listing touchpoints where needed.</x:v>
      </x:c>
      <x:c r="M189" s="136" t="str">
        <x:v>Link/metadata/version review</x:v>
      </x:c>
      <x:c r="N189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9" s="136" t="str">
        <x:v>Retain in final content, legal, branding, accessibility and responsive acceptance review.</x:v>
      </x:c>
    </x:row>
    <x:row r="190">
      <x:c r="A190" s="135" t="str">
        <x:v>JW-186</x:v>
      </x:c>
      <x:c r="B190" s="135" t="str">
        <x:v>Content &amp; Legal</x:v>
      </x:c>
      <x:c r="C190" s="135" t="str">
        <x:v>Privacy Policy</x:v>
      </x:c>
      <x:c r="D190" s="136" t="str">
        <x:v>Data collection, cookies, contact and retention disclosures</x:v>
      </x:c>
      <x:c r="E190" s="136" t="str">
        <x:v>Signed V1</x:v>
      </x:c>
      <x:c r="F190" s="136" t="str">
        <x:v>Completed</x:v>
      </x:c>
      <x:c r="G190" s="137" t="n">
        <x:v>1</x:v>
      </x:c>
      <x:c r="H190" s="136" t="str">
        <x:v>Critical</x:v>
      </x:c>
      <x:c r="I190" s="136" t="str">
        <x:v>Stage 6</x:v>
      </x:c>
      <x:c r="J190" s="136" t="str">
        <x:v>Unassigned</x:v>
      </x:c>
      <x:c r="K190" s="136" t="str">
        <x:v>Legal/privacy review</x:v>
      </x:c>
      <x:c r="L190" s="136" t="str">
        <x:v>Approved policy matches implemented data flows and is linked globally.</x:v>
      </x:c>
      <x:c r="M190" s="136" t="str">
        <x:v>Data inventory reconciliation; link test</x:v>
      </x:c>
      <x:c r="N190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0" s="136" t="str">
        <x:v>Retain in final content, legal, branding, accessibility and responsive acceptance review.</x:v>
      </x:c>
    </x:row>
    <x:row r="191">
      <x:c r="A191" s="135" t="str">
        <x:v>JW-187</x:v>
      </x:c>
      <x:c r="B191" s="135" t="str">
        <x:v>Content &amp; Legal</x:v>
      </x:c>
      <x:c r="C191" s="135" t="str">
        <x:v>Safety information</x:v>
      </x:c>
      <x:c r="D191" s="136" t="str">
        <x:v>Buyer/seller fraud-prevention guidance</x:v>
      </x:c>
      <x:c r="E191" s="136" t="str">
        <x:v>Signed V1</x:v>
      </x:c>
      <x:c r="F191" s="136" t="str">
        <x:v>Completed</x:v>
      </x:c>
      <x:c r="G191" s="137" t="n">
        <x:v>1</x:v>
      </x:c>
      <x:c r="H191" s="136" t="str">
        <x:v>High</x:v>
      </x:c>
      <x:c r="I191" s="136" t="str">
        <x:v>Stage 6</x:v>
      </x:c>
      <x:c r="J191" s="136" t="str">
        <x:v>Unassigned</x:v>
      </x:c>
      <x:c r="K191" s="136" t="str">
        <x:v>Approved safety content</x:v>
      </x:c>
      <x:c r="L191" s="136" t="str">
        <x:v>Dedicated accessible page provides accurate guidance and reporting route.</x:v>
      </x:c>
      <x:c r="M191" s="136" t="str">
        <x:v>Content accuracy; mobile; links</x:v>
      </x:c>
      <x:c r="N191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1" s="136" t="str">
        <x:v>Retain in final content, legal, branding, accessibility and responsive acceptance review.</x:v>
      </x:c>
    </x:row>
    <x:row r="192">
      <x:c r="A192" s="135" t="str">
        <x:v>JW-188</x:v>
      </x:c>
      <x:c r="B192" s="135" t="str">
        <x:v>Content &amp; Legal</x:v>
      </x:c>
      <x:c r="C192" s="135" t="str">
        <x:v>Report a concern page</x:v>
      </x:c>
      <x:c r="D192" s="136" t="str">
        <x:v>General concern/contact path beyond a listing-specific report</x:v>
      </x:c>
      <x:c r="E192" s="136" t="str">
        <x:v>Signed V1</x:v>
      </x:c>
      <x:c r="F192" s="136" t="str">
        <x:v>Completed</x:v>
      </x:c>
      <x:c r="G192" s="137" t="n">
        <x:v>1</x:v>
      </x:c>
      <x:c r="H192" s="136" t="str">
        <x:v>Medium</x:v>
      </x:c>
      <x:c r="I192" s="136" t="str">
        <x:v>Stage 6</x:v>
      </x:c>
      <x:c r="J192" s="136" t="str">
        <x:v>Unassigned</x:v>
      </x:c>
      <x:c r="K192" s="136" t="str">
        <x:v>Contact/moderation workflow</x:v>
      </x:c>
      <x:c r="L192" s="136" t="str">
        <x:v>Concern reaches staff with classification and reference without exposing sensitive data.</x:v>
      </x:c>
      <x:c r="M192" s="136" t="str">
        <x:v>Validation; spam; delivery; status</x:v>
      </x:c>
      <x:c r="N192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2" s="136" t="str">
        <x:v>Retain in final content, legal, branding, accessibility and responsive acceptance review.</x:v>
      </x:c>
    </x:row>
    <x:row r="193">
      <x:c r="A193" s="135" t="str">
        <x:v>JW-189</x:v>
      </x:c>
      <x:c r="B193" s="135" t="str">
        <x:v>Content &amp; Legal</x:v>
      </x:c>
      <x:c r="C193" s="135" t="str">
        <x:v>Social profile links</x:v>
      </x:c>
      <x:c r="D193" s="136" t="str">
        <x:v>Approved JaniWheels social media URLs</x:v>
      </x:c>
      <x:c r="E193" s="136" t="str">
        <x:v>Signed V1</x:v>
      </x:c>
      <x:c r="F193" s="136" t="str">
        <x:v>Completed</x:v>
      </x:c>
      <x:c r="G193" s="137" t="n">
        <x:v>1</x:v>
      </x:c>
      <x:c r="H193" s="136" t="str">
        <x:v>Low</x:v>
      </x:c>
      <x:c r="I193" s="136" t="str">
        <x:v>Stage 6</x:v>
      </x:c>
      <x:c r="J193" s="136" t="str">
        <x:v>Unassigned</x:v>
      </x:c>
      <x:c r="K193" s="136" t="str">
        <x:v>Official profile URLs</x:v>
      </x:c>
      <x:c r="L193" s="136" t="str">
        <x:v>Only official active profiles are linked and open safely.</x:v>
      </x:c>
      <x:c r="M193" s="136" t="str">
        <x:v>All links; icons; accessibility</x:v>
      </x:c>
      <x:c r="N193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3" s="136" t="str">
        <x:v>Retain in final content, legal, branding, accessibility and responsive acceptance review.</x:v>
      </x:c>
    </x:row>
    <x:row r="194">
      <x:c r="A194" s="135" t="str">
        <x:v>JW-190</x:v>
      </x:c>
      <x:c r="B194" s="135" t="str">
        <x:v>Deployment &amp; Operations</x:v>
      </x:c>
      <x:c r="C194" s="135" t="str">
        <x:v>Production hosting</x:v>
      </x:c>
      <x:c r="D194" s="136" t="str">
        <x:v>Deploy Next.js application on approved infrastructure</x:v>
      </x:c>
      <x:c r="E194" s="136" t="str">
        <x:v>Technical Foundation</x:v>
      </x:c>
      <x:c r="F194" s="136" t="str">
        <x:v>Pending</x:v>
      </x:c>
      <x:c r="G194" s="137" t="n">
        <x:v>0</x:v>
      </x:c>
      <x:c r="H194" s="136" t="str">
        <x:v>Critical</x:v>
      </x:c>
      <x:c r="I194" s="136" t="str">
        <x:v>Stage 6</x:v>
      </x:c>
      <x:c r="J194" s="136" t="str">
        <x:v>Unassigned</x:v>
      </x:c>
      <x:c r="K194" s="136" t="str">
        <x:v>Hosting decision</x:v>
      </x:c>
      <x:c r="L194" s="136" t="str">
        <x:v>HTTPS application serves all routes with correct environment and scaling.</x:v>
      </x:c>
      <x:c r="M194" s="136" t="str">
        <x:v>Deployment smoke; restart; rollback</x:v>
      </x:c>
      <x:c r="N194" s="136" t="str">
        <x:v>No production deployment is documented as complete.</x:v>
      </x:c>
      <x:c r="O194" s="136" t="str">
        <x:v>Select and configure hosting.</x:v>
      </x:c>
    </x:row>
    <x:row r="195">
      <x:c r="A195" s="135" t="str">
        <x:v>JW-191</x:v>
      </x:c>
      <x:c r="B195" s="135" t="str">
        <x:v>Deployment &amp; Operations</x:v>
      </x:c>
      <x:c r="C195" s="135" t="str">
        <x:v>Production PostgreSQL</x:v>
      </x:c>
      <x:c r="D195" s="136" t="str">
        <x:v>Managed/secured database with pooling and migration process</x:v>
      </x:c>
      <x:c r="E195" s="136" t="str">
        <x:v>Technical Foundation</x:v>
      </x:c>
      <x:c r="F195" s="136" t="str">
        <x:v>Pending</x:v>
      </x:c>
      <x:c r="G195" s="137" t="n">
        <x:v>0</x:v>
      </x:c>
      <x:c r="H195" s="136" t="str">
        <x:v>Critical</x:v>
      </x:c>
      <x:c r="I195" s="136" t="str">
        <x:v>Stage 6</x:v>
      </x:c>
      <x:c r="J195" s="136" t="str">
        <x:v>Unassigned</x:v>
      </x:c>
      <x:c r="K195" s="136" t="str">
        <x:v>Database provider</x:v>
      </x:c>
      <x:c r="L195" s="136" t="str">
        <x:v>Backups, access controls, pooling and migration runbook are operational.</x:v>
      </x:c>
      <x:c r="M195" s="136" t="str">
        <x:v>Connection limits; migration; restore; failover</x:v>
      </x:c>
      <x:c r="N195" s="136" t="str">
        <x:v>Local PostgreSQL is working; production DB not configured.</x:v>
      </x:c>
      <x:c r="O195" s="136" t="str">
        <x:v>Provision staging then production database.</x:v>
      </x:c>
    </x:row>
    <x:row r="196">
      <x:c r="A196" s="135" t="str">
        <x:v>JW-192</x:v>
      </x:c>
      <x:c r="B196" s="135" t="str">
        <x:v>Deployment &amp; Operations</x:v>
      </x:c>
      <x:c r="C196" s="135" t="str">
        <x:v>Production image storage</x:v>
      </x:c>
      <x:c r="D196" s="136" t="str">
        <x:v>Durable CDN-backed media provider</x:v>
      </x:c>
      <x:c r="E196" s="136" t="str">
        <x:v>Technical Foundation</x:v>
      </x:c>
      <x:c r="F196" s="136" t="str">
        <x:v>Pending</x:v>
      </x:c>
      <x:c r="G196" s="137" t="n">
        <x:v>0</x:v>
      </x:c>
      <x:c r="H196" s="136" t="str">
        <x:v>Critical</x:v>
      </x:c>
      <x:c r="I196" s="136" t="str">
        <x:v>Stage 6</x:v>
      </x:c>
      <x:c r="J196" s="136" t="str">
        <x:v>Unassigned</x:v>
      </x:c>
      <x:c r="K196" s="136" t="str">
        <x:v>Cloudflare or implemented provider</x:v>
      </x:c>
      <x:c r="L196" s="136" t="str">
        <x:v>Uploads survive deployments and load through correct public URLs.</x:v>
      </x:c>
      <x:c r="M196" s="136" t="str">
        <x:v>Upload/display/delete; cache; failure</x:v>
      </x:c>
      <x:c r="N196" s="136" t="str">
        <x:v>Local provider is not production-safe.</x:v>
      </x:c>
      <x:c r="O196" s="136" t="str">
        <x:v>Configure and validate selected provider.</x:v>
      </x:c>
    </x:row>
    <x:row r="197">
      <x:c r="A197" s="135" t="str">
        <x:v>JW-193</x:v>
      </x:c>
      <x:c r="B197" s="135" t="str">
        <x:v>Deployment &amp; Operations</x:v>
      </x:c>
      <x:c r="C197" s="135" t="str">
        <x:v>Domain and HTTPS</x:v>
      </x:c>
      <x:c r="D197" s="136" t="str">
        <x:v>janiwheels.com canonical origin and TLS</x:v>
      </x:c>
      <x:c r="E197" s="136" t="str">
        <x:v>Technical Foundation</x:v>
      </x:c>
      <x:c r="F197" s="136" t="str">
        <x:v>Launch Configuration Pending</x:v>
      </x:c>
      <x:c r="G197" s="137" t="n">
        <x:v>0.6</x:v>
      </x:c>
      <x:c r="H197" s="136" t="str">
        <x:v>Critical</x:v>
      </x:c>
      <x:c r="I197" s="136" t="str">
        <x:v>Stage 6</x:v>
      </x:c>
      <x:c r="J197" s="136" t="str">
        <x:v>Unassigned</x:v>
      </x:c>
      <x:c r="K197" s="136" t="str">
        <x:v>DNS/hosting</x:v>
      </x:c>
      <x:c r="L197" s="136" t="str">
        <x:v>All HTTP/alternate hosts redirect to one HTTPS canonical origin.</x:v>
      </x:c>
      <x:c r="M197" s="136" t="str">
        <x:v>DNS; SSL; www/non-www; canonical tags</x:v>
      </x:c>
      <x:c r="N197" s="136" t="str">
        <x:v>Domain exists, but application production deployment is not verified.</x:v>
      </x:c>
      <x:c r="O197" s="136" t="str">
        <x:v>Configure after hosting selection.</x:v>
      </x:c>
    </x:row>
    <x:row r="198">
      <x:c r="A198" s="135" t="str">
        <x:v>JW-194</x:v>
      </x:c>
      <x:c r="B198" s="135" t="str">
        <x:v>Deployment &amp; Operations</x:v>
      </x:c>
      <x:c r="C198" s="135" t="str">
        <x:v>Database backups</x:v>
      </x:c>
      <x:c r="D198" s="136" t="str">
        <x:v>Automated backups and tested restore</x:v>
      </x:c>
      <x:c r="E198" s="136" t="str">
        <x:v>Technical Foundation</x:v>
      </x:c>
      <x:c r="F198" s="136" t="str">
        <x:v>Pending</x:v>
      </x:c>
      <x:c r="G198" s="137" t="n">
        <x:v>0</x:v>
      </x:c>
      <x:c r="H198" s="136" t="str">
        <x:v>Critical</x:v>
      </x:c>
      <x:c r="I198" s="136" t="str">
        <x:v>Stage 6</x:v>
      </x:c>
      <x:c r="J198" s="136" t="str">
        <x:v>Unassigned</x:v>
      </x:c>
      <x:c r="K198" s="136" t="str">
        <x:v>Production DB</x:v>
      </x:c>
      <x:c r="L198" s="136" t="str">
        <x:v>Backup schedule meets recovery targets and restore test succeeds.</x:v>
      </x:c>
      <x:c r="M198" s="136" t="str">
        <x:v>Restore drill; retention; encryption</x:v>
      </x:c>
      <x:c r="N198" s="136" t="str">
        <x:v>Not configured.</x:v>
      </x:c>
      <x:c r="O198" s="136" t="str">
        <x:v>Implement before production data.</x:v>
      </x:c>
    </x:row>
    <x:row r="199">
      <x:c r="A199" s="135" t="str">
        <x:v>JW-195</x:v>
      </x:c>
      <x:c r="B199" s="135" t="str">
        <x:v>Deployment &amp; Operations</x:v>
      </x:c>
      <x:c r="C199" s="135" t="str">
        <x:v>Logging and error monitoring</x:v>
      </x:c>
      <x:c r="D199" s="136" t="str">
        <x:v>Centralized server errors and alerting</x:v>
      </x:c>
      <x:c r="E199" s="136" t="str">
        <x:v>Technical Foundation</x:v>
      </x:c>
      <x:c r="F199" s="136" t="str">
        <x:v>Pending</x:v>
      </x:c>
      <x:c r="G199" s="137" t="n">
        <x:v>0</x:v>
      </x:c>
      <x:c r="H199" s="136" t="str">
        <x:v>Critical</x:v>
      </x:c>
      <x:c r="I199" s="136" t="str">
        <x:v>Stage 6</x:v>
      </x:c>
      <x:c r="J199" s="136" t="str">
        <x:v>Unassigned</x:v>
      </x:c>
      <x:c r="K199" s="136" t="str">
        <x:v>Hosting/monitoring provider</x:v>
      </x:c>
      <x:c r="L199" s="136" t="str">
        <x:v>Unhandled failures are captured with useful context but no secrets.</x:v>
      </x:c>
      <x:c r="M199" s="136" t="str">
        <x:v>Synthetic error; alert delivery; PII review</x:v>
      </x:c>
      <x:c r="N199" s="136" t="str">
        <x:v>Only console logging exists.</x:v>
      </x:c>
      <x:c r="O199" s="136" t="str">
        <x:v>Configure structured logs and error monitoring.</x:v>
      </x:c>
    </x:row>
    <x:row r="200">
      <x:c r="A200" s="135" t="str">
        <x:v>JW-196</x:v>
      </x:c>
      <x:c r="B200" s="135" t="str">
        <x:v>Deployment &amp; Operations</x:v>
      </x:c>
      <x:c r="C200" s="135" t="str">
        <x:v>Uptime monitoring</x:v>
      </x:c>
      <x:c r="D200" s="136" t="str">
        <x:v>External checks for homepage, APIs and critical journeys</x:v>
      </x:c>
      <x:c r="E200" s="136" t="str">
        <x:v>Technical Foundation</x:v>
      </x:c>
      <x:c r="F200" s="136" t="str">
        <x:v>Pending</x:v>
      </x:c>
      <x:c r="G200" s="137" t="n">
        <x:v>0</x:v>
      </x:c>
      <x:c r="H200" s="136" t="str">
        <x:v>High</x:v>
      </x:c>
      <x:c r="I200" s="136" t="str">
        <x:v>Stage 6</x:v>
      </x:c>
      <x:c r="J200" s="136" t="str">
        <x:v>Unassigned</x:v>
      </x:c>
      <x:c r="K200" s="136" t="str">
        <x:v>Production/staging URL</x:v>
      </x:c>
      <x:c r="L200" s="136" t="str">
        <x:v>Downtime and degraded checks notify the responsible team.</x:v>
      </x:c>
      <x:c r="M200" s="136" t="str">
        <x:v>Failure simulation; alert escalation</x:v>
      </x:c>
      <x:c r="N200" s="136" t="str">
        <x:v>Not configured.</x:v>
      </x:c>
      <x:c r="O200" s="136" t="str">
        <x:v>Add after staging is live.</x:v>
      </x:c>
    </x:row>
    <x:row r="201">
      <x:c r="A201" s="135" t="str">
        <x:v>JW-197</x:v>
      </x:c>
      <x:c r="B201" s="135" t="str">
        <x:v>Deployment &amp; Operations</x:v>
      </x:c>
      <x:c r="C201" s="135" t="str">
        <x:v>Cron scheduling</x:v>
      </x:c>
      <x:c r="D201" s="136" t="str">
        <x:v>Invoke expiry and session cleanup jobs securely</x:v>
      </x:c>
      <x:c r="E201" s="136" t="str">
        <x:v>Technical Foundation</x:v>
      </x:c>
      <x:c r="F201" s="136" t="str">
        <x:v>Pending</x:v>
      </x:c>
      <x:c r="G201" s="137" t="n">
        <x:v>0</x:v>
      </x:c>
      <x:c r="H201" s="136" t="str">
        <x:v>High</x:v>
      </x:c>
      <x:c r="I201" s="136" t="str">
        <x:v>Stage 6</x:v>
      </x:c>
      <x:c r="J201" s="136" t="str">
        <x:v>Unassigned</x:v>
      </x:c>
      <x:c r="K201" s="136" t="str">
        <x:v>Hosting scheduler and CRON_SECRET</x:v>
      </x:c>
      <x:c r="L201" s="136" t="str">
        <x:v>Jobs run on schedule, authenticate, report outcomes and alert on failure.</x:v>
      </x:c>
      <x:c r="M201" s="136" t="str">
        <x:v>Authorized/unauthorized; missed run; retry</x:v>
      </x:c>
      <x:c r="N201" s="136" t="str">
        <x:v>Protected endpoints exist; scheduler not configured.</x:v>
      </x:c>
      <x:c r="O201" s="136" t="str">
        <x:v>Configure in staging and monitor.</x:v>
      </x:c>
    </x:row>
    <x:row r="202">
      <x:c r="A202" s="135" t="str">
        <x:v>JW-198</x:v>
      </x:c>
      <x:c r="B202" s="135" t="str">
        <x:v>Deployment &amp; Operations</x:v>
      </x:c>
      <x:c r="C202" s="135" t="str">
        <x:v>Analytics/measurement</x:v>
      </x:c>
      <x:c r="D202" s="136" t="str">
        <x:v>Approved privacy-conscious traffic and conversion measurement</x:v>
      </x:c>
      <x:c r="E202" s="136" t="str">
        <x:v>Technical Foundation</x:v>
      </x:c>
      <x:c r="F202" s="136" t="str">
        <x:v>Partially Implemented</x:v>
      </x:c>
      <x:c r="G202" s="137" t="n">
        <x:v>0.4</x:v>
      </x:c>
      <x:c r="H202" s="136" t="str">
        <x:v>Medium</x:v>
      </x:c>
      <x:c r="I202" s="136" t="str">
        <x:v>Stage 6</x:v>
      </x:c>
      <x:c r="J202" s="136" t="str">
        <x:v>Unassigned</x:v>
      </x:c>
      <x:c r="K202" s="136" t="str">
        <x:v>Analytics decision/privacy policy</x:v>
      </x:c>
      <x:c r="L202" s="136" t="str">
        <x:v>Page traffic and lead conversions are measurable without claiming advanced BI.</x:v>
      </x:c>
      <x:c r="M202" s="136" t="str">
        <x:v>Event accuracy; consent; duplicate events</x:v>
      </x:c>
      <x:c r="N202" s="136" t="str">
        <x:v>Lead events exist; no approved site analytics configuration shown.</x:v>
      </x:c>
      <x:c r="O202" s="136" t="str">
        <x:v>Define basic V1 measurement plan.</x:v>
      </x:c>
    </x:row>
    <x:row r="203">
      <x:c r="A203" s="135" t="str">
        <x:v>JW-199</x:v>
      </x:c>
      <x:c r="B203" s="135" t="str">
        <x:v>Deployment &amp; Operations</x:v>
      </x:c>
      <x:c r="C203" s="135" t="str">
        <x:v>Launch smoke test</x:v>
      </x:c>
      <x:c r="D203" s="136" t="str">
        <x:v>End-to-end production validation immediately before/after go-live</x:v>
      </x:c>
      <x:c r="E203" s="136" t="str">
        <x:v>Technical Foundation</x:v>
      </x:c>
      <x:c r="F203" s="136" t="str">
        <x:v>Pending</x:v>
      </x:c>
      <x:c r="G203" s="137" t="n">
        <x:v>0</x:v>
      </x:c>
      <x:c r="H203" s="136" t="str">
        <x:v>Critical</x:v>
      </x:c>
      <x:c r="I203" s="136" t="str">
        <x:v>Stage 6</x:v>
      </x:c>
      <x:c r="J203" s="136" t="str">
        <x:v>Unassigned</x:v>
      </x:c>
      <x:c r="K203" s="136" t="str">
        <x:v>Feature-complete production</x:v>
      </x:c>
      <x:c r="L203" s="136" t="str">
        <x:v>All critical public, seller, dealer, admin and assistance journeys pass with real services.</x:v>
      </x:c>
      <x:c r="M203" s="136" t="str">
        <x:v>Runbook with evidence and rollback gate</x:v>
      </x:c>
      <x:c r="N203" s="136" t="str">
        <x:v>Not yet applicable.</x:v>
      </x:c>
      <x:c r="O203" s="136" t="str">
        <x:v>Execute only after all critical tracker items are closed.</x:v>
      </x:c>
    </x:row>
    <x:row r="204">
      <x:c r="A204" s="135" t="str">
        <x:v>JW-200</x:v>
      </x:c>
      <x:c r="B204" s="135" t="str">
        <x:v>Excluded Scope</x:v>
      </x:c>
      <x:c r="C204" s="135" t="str">
        <x:v>Payments</x:v>
      </x:c>
      <x:c r="D204" s="136" t="str">
        <x:v>JazzCash, Easypaisa, card processing, callbacks and billing</x:v>
      </x:c>
      <x:c r="E204" s="136" t="str">
        <x:v>Excluded / Change Request</x:v>
      </x:c>
      <x:c r="F204" s="136" t="str">
        <x:v>Out of Scope / Removed</x:v>
      </x:c>
      <x:c r="G204" s="137" t="n">
        <x:v>1</x:v>
      </x:c>
      <x:c r="H204" s="136" t="str">
        <x:v>Do Not Build</x:v>
      </x:c>
      <x:c r="I204" s="136" t="str">
        <x:v>Excluded</x:v>
      </x:c>
      <x:c r="J204" s="136" t="str">
        <x:v>Unassigned</x:v>
      </x:c>
      <x:c r="K204" s="136" t="str">
        <x:v>Signed change request</x:v>
      </x:c>
      <x:c r="L204" s="136" t="str">
        <x:v>No payment code, keys, routes or UI in V1.</x:v>
      </x:c>
      <x:c r="M204" s="136" t="str">
        <x:v>Repository scan; route scan; dependency scan</x:v>
      </x:c>
      <x:c r="N204" s="136" t="str">
        <x:v>Removed on scope-alignment branch.</x:v>
      </x:c>
      <x:c r="O204" s="136" t="str">
        <x:v>Do not reintroduce without signed scope change.</x:v>
      </x:c>
    </x:row>
    <x:row r="205">
      <x:c r="A205" s="135" t="str">
        <x:v>JW-201</x:v>
      </x:c>
      <x:c r="B205" s="135" t="str">
        <x:v>Excluded Scope</x:v>
      </x:c>
      <x:c r="C205" s="135" t="str">
        <x:v>Featured ads</x:v>
      </x:c>
      <x:c r="D205" s="136" t="str">
        <x:v>Paid promotions, bumps and promoted ranking</x:v>
      </x:c>
      <x:c r="E205" s="136" t="str">
        <x:v>Excluded / Change Request</x:v>
      </x:c>
      <x:c r="F205" s="136" t="str">
        <x:v>Out of Scope / Removed</x:v>
      </x:c>
      <x:c r="G205" s="137" t="n">
        <x:v>1</x:v>
      </x:c>
      <x:c r="H205" s="136" t="str">
        <x:v>Do Not Build</x:v>
      </x:c>
      <x:c r="I205" s="136" t="str">
        <x:v>Excluded</x:v>
      </x:c>
      <x:c r="J205" s="136" t="str">
        <x:v>Unassigned</x:v>
      </x:c>
      <x:c r="K205" s="136" t="str">
        <x:v>Signed change request</x:v>
      </x:c>
      <x:c r="L205" s="136" t="str">
        <x:v>Latest listings remain chronological/approved sort without paid placement.</x:v>
      </x:c>
      <x:c r="M205" s="136" t="str">
        <x:v>Search ordering; repository scan</x:v>
      </x:c>
      <x:c r="N205" s="136" t="str">
        <x:v>Removed; homepage uses Latest Listings.</x:v>
      </x:c>
      <x:c r="O205" s="136" t="str">
        <x:v>Do not reintroduce.</x:v>
      </x:c>
    </x:row>
    <x:row r="206">
      <x:c r="A206" s="135" t="str">
        <x:v>JW-202</x:v>
      </x:c>
      <x:c r="B206" s="135" t="str">
        <x:v>Excluded Scope</x:v>
      </x:c>
      <x:c r="C206" s="135" t="str">
        <x:v>Dealer subscriptions</x:v>
      </x:c>
      <x:c r="D206" s="136" t="str">
        <x:v>Plans, recurring billing and paid analytics</x:v>
      </x:c>
      <x:c r="E206" s="136" t="str">
        <x:v>Excluded / Change Request</x:v>
      </x:c>
      <x:c r="F206" s="136" t="str">
        <x:v>Out of Scope / Removed</x:v>
      </x:c>
      <x:c r="G206" s="137" t="n">
        <x:v>1</x:v>
      </x:c>
      <x:c r="H206" s="136" t="str">
        <x:v>Do Not Build</x:v>
      </x:c>
      <x:c r="I206" s="136" t="str">
        <x:v>Excluded</x:v>
      </x:c>
      <x:c r="J206" s="136" t="str">
        <x:v>Unassigned</x:v>
      </x:c>
      <x:c r="K206" s="136" t="str">
        <x:v>Signed change request</x:v>
      </x:c>
      <x:c r="L206" s="136" t="str">
        <x:v>Dealer V1 remains basic profile/storefront/dashboard.</x:v>
      </x:c>
      <x:c r="M206" s="136" t="str">
        <x:v>Repository scan</x:v>
      </x:c>
      <x:c r="N206" s="136" t="str">
        <x:v>Removed.</x:v>
      </x:c>
      <x:c r="O206" s="136" t="str">
        <x:v>Do not reintroduce.</x:v>
      </x:c>
    </x:row>
    <x:row r="207">
      <x:c r="A207" s="135" t="str">
        <x:v>JW-203</x:v>
      </x:c>
      <x:c r="B207" s="135" t="str">
        <x:v>Excluded Scope</x:v>
      </x:c>
      <x:c r="C207" s="135" t="str">
        <x:v>Financing and valuation</x:v>
      </x:c>
      <x:c r="D207" s="136" t="str">
        <x:v>Finance calculator, banking/insurance integration and market-price prediction</x:v>
      </x:c>
      <x:c r="E207" s="136" t="str">
        <x:v>Excluded / Change Request</x:v>
      </x:c>
      <x:c r="F207" s="136" t="str">
        <x:v>Out of Scope / Removed</x:v>
      </x:c>
      <x:c r="G207" s="137" t="n">
        <x:v>1</x:v>
      </x:c>
      <x:c r="H207" s="136" t="str">
        <x:v>Do Not Build</x:v>
      </x:c>
      <x:c r="I207" s="136" t="str">
        <x:v>Excluded</x:v>
      </x:c>
      <x:c r="J207" s="136" t="str">
        <x:v>Unassigned</x:v>
      </x:c>
      <x:c r="K207" s="136" t="str">
        <x:v>Signed change request</x:v>
      </x:c>
      <x:c r="L207" s="136" t="str">
        <x:v>No finance/valuation claims or routes exist.</x:v>
      </x:c>
      <x:c r="M207" s="136" t="str">
        <x:v>Repository and UI scan</x:v>
      </x:c>
      <x:c r="N207" s="136" t="str">
        <x:v>Removed.</x:v>
      </x:c>
      <x:c r="O207" s="136" t="str">
        <x:v>Do not reintroduce.</x:v>
      </x:c>
    </x:row>
    <x:row r="208">
      <x:c r="A208" s="135" t="str">
        <x:v>JW-204</x:v>
      </x:c>
      <x:c r="B208" s="135" t="str">
        <x:v>Excluded Scope</x:v>
      </x:c>
      <x:c r="C208" s="135" t="str">
        <x:v>E-commerce</x:v>
      </x:c>
      <x:c r="D208" s="136" t="str">
        <x:v>Parts cart, checkout, shipping, fulfilment, order tracking and online inventory fulfilment</x:v>
      </x:c>
      <x:c r="E208" s="136" t="str">
        <x:v>Excluded / Change Request</x:v>
      </x:c>
      <x:c r="F208" s="136" t="str">
        <x:v>Out of Scope / Removed</x:v>
      </x:c>
      <x:c r="G208" s="137" t="n">
        <x:v>1</x:v>
      </x:c>
      <x:c r="H208" s="136" t="str">
        <x:v>Do Not Build</x:v>
      </x:c>
      <x:c r="I208" s="136" t="str">
        <x:v>Excluded</x:v>
      </x:c>
      <x:c r="J208" s="136" t="str">
        <x:v>Unassigned</x:v>
      </x:c>
      <x:c r="K208" s="136" t="str">
        <x:v>Signed change request</x:v>
      </x:c>
      <x:c r="L208" s="136" t="str">
        <x:v>Auto Parts remains classified contact only.</x:v>
      </x:c>
      <x:c r="M208" s="136" t="str">
        <x:v>Route/model/UI scan</x:v>
      </x:c>
      <x:c r="N208" s="136" t="str">
        <x:v>No transaction workflow remains.</x:v>
      </x:c>
      <x:c r="O208" s="136" t="str">
        <x:v>Do not reintroduce.</x:v>
      </x:c>
    </x:row>
    <x:row r="209">
      <x:c r="A209" s="135" t="str">
        <x:v>JW-205</x:v>
      </x:c>
      <x:c r="B209" s="135" t="str">
        <x:v>Excluded Scope</x:v>
      </x:c>
      <x:c r="C209" s="135" t="str">
        <x:v>Automatic imports</x:v>
      </x:c>
      <x:c r="D209" s="136" t="str">
        <x:v>CSV scraping, bulk dealer import and third-party feed sync</x:v>
      </x:c>
      <x:c r="E209" s="136" t="str">
        <x:v>Excluded / Change Request</x:v>
      </x:c>
      <x:c r="F209" s="136" t="str">
        <x:v>Out of Scope / Removed</x:v>
      </x:c>
      <x:c r="G209" s="137" t="n">
        <x:v>1</x:v>
      </x:c>
      <x:c r="H209" s="136" t="str">
        <x:v>Do Not Build</x:v>
      </x:c>
      <x:c r="I209" s="136" t="str">
        <x:v>Excluded</x:v>
      </x:c>
      <x:c r="J209" s="136" t="str">
        <x:v>Unassigned</x:v>
      </x:c>
      <x:c r="K209" s="136" t="str">
        <x:v>Signed change request</x:v>
      </x:c>
      <x:c r="L209" s="136" t="str">
        <x:v>All V1 listings are created through approved manual forms.</x:v>
      </x:c>
      <x:c r="M209" s="136" t="str">
        <x:v>API/dependency scan</x:v>
      </x:c>
      <x:c r="N209" s="136" t="str">
        <x:v>Removed.</x:v>
      </x:c>
      <x:c r="O209" s="136" t="str">
        <x:v>Do not reintroduce.</x:v>
      </x:c>
    </x:row>
    <x:row r="210">
      <x:c r="A210" s="135" t="str">
        <x:v>JW-206</x:v>
      </x:c>
      <x:c r="B210" s="135" t="str">
        <x:v>Excluded Scope</x:v>
      </x:c>
      <x:c r="C210" s="135" t="str">
        <x:v>SMS OTP</x:v>
      </x:c>
      <x:c r="D210" s="136" t="str">
        <x:v>Twilio/SMS login and verification</x:v>
      </x:c>
      <x:c r="E210" s="136" t="str">
        <x:v>Excluded / Change Request</x:v>
      </x:c>
      <x:c r="F210" s="136" t="str">
        <x:v>Out of Scope / Removed</x:v>
      </x:c>
      <x:c r="G210" s="137" t="n">
        <x:v>1</x:v>
      </x:c>
      <x:c r="H210" s="136" t="str">
        <x:v>Do Not Build</x:v>
      </x:c>
      <x:c r="I210" s="136" t="str">
        <x:v>Excluded</x:v>
      </x:c>
      <x:c r="J210" s="136" t="str">
        <x:v>Unassigned</x:v>
      </x:c>
      <x:c r="K210" s="136" t="str">
        <x:v>Signed change request</x:v>
      </x:c>
      <x:c r="L210" s="136" t="str">
        <x:v>Authentication remains password-based; recovery must not silently add SMS costs.</x:v>
      </x:c>
      <x:c r="M210" s="136" t="str">
        <x:v>Dependency/env/route scan</x:v>
      </x:c>
      <x:c r="N210" s="136" t="str">
        <x:v>Removed and replaced with password authentication.</x:v>
      </x:c>
      <x:c r="O210" s="136" t="str">
        <x:v>Do not reintroduce.</x:v>
      </x:c>
    </x:row>
    <x:row r="211">
      <x:c r="A211" s="135" t="str">
        <x:v>JW-207</x:v>
      </x:c>
      <x:c r="B211" s="135" t="str">
        <x:v>Excluded Scope</x:v>
      </x:c>
      <x:c r="C211" s="135" t="str">
        <x:v>Inspection workforce tooling</x:v>
      </x:c>
      <x:c r="D211" s="136" t="str">
        <x:v>Packages, pricing, scheduling, inspector assignment, scoring and PDF reports</x:v>
      </x:c>
      <x:c r="E211" s="136" t="str">
        <x:v>Excluded / Change Request</x:v>
      </x:c>
      <x:c r="F211" s="136" t="str">
        <x:v>Out of Scope / Removed</x:v>
      </x:c>
      <x:c r="G211" s="137" t="n">
        <x:v>1</x:v>
      </x:c>
      <x:c r="H211" s="136" t="str">
        <x:v>Do Not Build</x:v>
      </x:c>
      <x:c r="I211" s="136" t="str">
        <x:v>Excluded</x:v>
      </x:c>
      <x:c r="J211" s="136" t="str">
        <x:v>Unassigned</x:v>
      </x:c>
      <x:c r="K211" s="136" t="str">
        <x:v>Signed change request</x:v>
      </x:c>
      <x:c r="L211" s="136" t="str">
        <x:v>Inspection remains a request and manual follow-up service only.</x:v>
      </x:c>
      <x:c r="M211" s="136" t="str">
        <x:v>Schema/route/UI scan</x:v>
      </x:c>
      <x:c r="N211" s="136" t="str">
        <x:v>Removed.</x:v>
      </x:c>
      <x:c r="O211" s="136" t="str">
        <x:v>Do not reintroduce.</x:v>
      </x:c>
    </x:row>
    <x:row r="212">
      <x:c r="A212" s="135" t="str">
        <x:v>JW-208</x:v>
      </x:c>
      <x:c r="B212" s="135" t="str">
        <x:v>Excluded Scope</x:v>
      </x:c>
      <x:c r="C212" s="135" t="str">
        <x:v>Internal live chat</x:v>
      </x:c>
      <x:c r="D212" s="136" t="str">
        <x:v>Buyer-seller chat or WhatsApp Business API automation</x:v>
      </x:c>
      <x:c r="E212" s="136" t="str">
        <x:v>Excluded / Change Request</x:v>
      </x:c>
      <x:c r="F212" s="136" t="str">
        <x:v>Out of Scope / Removed</x:v>
      </x:c>
      <x:c r="G212" s="137" t="n">
        <x:v>1</x:v>
      </x:c>
      <x:c r="H212" s="136" t="str">
        <x:v>Do Not Build</x:v>
      </x:c>
      <x:c r="I212" s="136" t="str">
        <x:v>Excluded</x:v>
      </x:c>
      <x:c r="J212" s="136" t="str">
        <x:v>Unassigned</x:v>
      </x:c>
      <x:c r="K212" s="136" t="str">
        <x:v>Signed change request</x:v>
      </x:c>
      <x:c r="L212" s="136" t="str">
        <x:v>Buyer contacts seller directly by approved phone/WhatsApp link only.</x:v>
      </x:c>
      <x:c r="M212" s="136" t="str">
        <x:v>Route/dependency scan</x:v>
      </x:c>
      <x:c r="N212" s="136" t="str">
        <x:v>Not implemented.</x:v>
      </x:c>
      <x:c r="O212" s="136" t="str">
        <x:v>Do not build in V1.</x:v>
      </x:c>
    </x:row>
    <x:row r="213">
      <x:c r="A213" s="135" t="str">
        <x:v>JW-209</x:v>
      </x:c>
      <x:c r="B213" s="135" t="str">
        <x:v>Excluded Scope</x:v>
      </x:c>
      <x:c r="C213" s="135" t="str">
        <x:v>Advanced platform modules</x:v>
      </x:c>
      <x:c r="D213" s="136" t="str">
        <x:v>CRM, ERP, BI, multilingual and AI recommendation systems</x:v>
      </x:c>
      <x:c r="E213" s="136" t="str">
        <x:v>Excluded / Change Request</x:v>
      </x:c>
      <x:c r="F213" s="136" t="str">
        <x:v>Out of Scope / Removed</x:v>
      </x:c>
      <x:c r="G213" s="137" t="n">
        <x:v>1</x:v>
      </x:c>
      <x:c r="H213" s="136" t="str">
        <x:v>Do Not Build</x:v>
      </x:c>
      <x:c r="I213" s="136" t="str">
        <x:v>Excluded</x:v>
      </x:c>
      <x:c r="J213" s="136" t="str">
        <x:v>Unassigned</x:v>
      </x:c>
      <x:c r="K213" s="136" t="str">
        <x:v>Signed change request</x:v>
      </x:c>
      <x:c r="L213" s="136" t="str">
        <x:v>No hidden scope growth delays the signed marketplace V1.</x:v>
      </x:c>
      <x:c r="M213" s="136" t="str">
        <x:v>Backlog/repository review</x:v>
      </x:c>
      <x:c r="N213" s="136" t="str">
        <x:v>Explicitly outside current architecture guardrail.</x:v>
      </x:c>
      <x:c r="O213" s="136" t="str">
        <x:v>Do not build in V1.</x:v>
      </x:c>
    </x:row>
    <x:row r="214">
      <x:c r="A214" t="str">
        <x:v>JW-210</x:v>
      </x:c>
      <x:c r="B214" t="str">
        <x:v>Authentication</x:v>
      </x:c>
      <x:c r="C214" t="str">
        <x:v>Google-first authentication</x:v>
      </x:c>
      <x:c r="D214" t="str">
        <x:v>Google/Google-based first login with verified email registration as secondary; retain mobile/password for existing users; Facebook and SMS OTP excluded.</x:v>
      </x:c>
      <x:c r="E214" t="str">
        <x:v>V1</x:v>
      </x:c>
      <x:c r="F214" t="str">
        <x:v>Completed</x:v>
      </x:c>
      <x:c r="G214" t="n">
        <x:v>1</x:v>
      </x:c>
      <x:c r="H214" t="str">
        <x:v>Critical</x:v>
      </x:c>
      <x:c r="I214" t="str">
        <x:v>Stage 2</x:v>
      </x:c>
      <x:c r="J214" t="str">
        <x:v>Unassigned</x:v>
      </x:c>
      <x:c r="K214" t="str">
        <x:v>Google OAuth provider and local PostgreSQL</x:v>
      </x:c>
      <x:c r="L214" t="str">
        <x:v>Google callback creates/updates user and session without exposing provider secrets; repair is idempotent.</x:v>
      </x:c>
      <x:c r="M214" t="str">
        <x:v>Google-auth static checks; database repair; local browser callback; full check/lint/build</x:v>
      </x:c>
      <x:c r="N214" t="str">
        <x:v>Google signup succeeded locally on 8 Sep 2026 after repairing schema drift. Root cause was missing users.updated_at (PostgreSQL 42703). Repair and regression check now cover the column; 12/12 Google-auth checks, full check, lint and build:safe passed.</x:v>
      </x:c>
      <x:c r="O214" t="str">
        <x:v>Keep secrets unchanged; repeat provider/browser acceptance at final QA and production configuration.</x:v>
      </x:c>
    </x:row>
    <x:row r="215">
      <x:c r="A215" t="str">
        <x:v>JW-211</x:v>
      </x:c>
      <x:c r="B215" t="str">
        <x:v>Listing Creation</x:v>
      </x:c>
      <x:c r="C215" t="str">
        <x:v>Approximate map-based ad location</x:v>
      </x:c>
      <x:c r="D215" t="str">
        <x:v>Allow seller to select an approximate map/location in V1. Store exact location privately; expose only an approved approximate area publicly.</x:v>
      </x:c>
      <x:c r="E215" t="str">
        <x:v>V1</x:v>
      </x:c>
      <x:c r="F215" t="str">
        <x:v>Partially Implemented</x:v>
      </x:c>
      <x:c r="G215" t="n">
        <x:v>0.9</x:v>
      </x:c>
      <x:c r="H215" t="str">
        <x:v>High</x:v>
      </x:c>
      <x:c r="I215" t="str">
        <x:v>Stage 2</x:v>
      </x:c>
      <x:c r="J215" t="str">
        <x:v>Unassigned</x:v>
      </x:c>
      <x:c r="K215" t="str">
        <x:v>Location privacy model, map provider and listing forms</x:v>
      </x:c>
      <x:c r="L215" t="str">
        <x:v>Seller can choose location, exact coordinates are access-controlled, public pages reveal only approximate area, and removal/editing is supported.</x:v>
      </x:c>
      <x:c r="M215" t="str">
        <x:v>Privacy/security review; DB acceptance; create/edit/detail tests; final responsive browser QA</x:v>
      </x:c>
      <x:c r="N215" t="str">
        <x:v>Privacy-safe map storage and approximate public output are merged on main. Regression checks passed 30 Sep. Google Maps configuration exists locally; billing and live browser acceptance remain unresolved.</x:v>
      </x:c>
      <x:c r="O215" t="str">
        <x:v>Enable billing without exposing the key; test car/bike/parts create, edit and public detail, then verify exact coordinates remain private.</x:v>
      </x:c>
    </x:row>
  </x:sheetData>
  <x:mergeCells>
    <x:mergeCell ref="A1:O1"/>
    <x:mergeCell ref="A2:O2"/>
  </x:mergeCells>
  <x:conditionalFormatting sqref="F5:F213">
    <x:cfRule type="containsText" dxfId="0" priority="1" operator="containsText" text="Completed"/>
    <x:cfRule type="containsText" dxfId="1" priority="2" operator="containsText" text="Feature Branch"/>
    <x:cfRule type="containsText" dxfId="2" priority="3" operator="containsText" text="Partially"/>
    <x:cfRule type="containsText" dxfId="3" priority="4" operator="containsText" text="Data Layer"/>
    <x:cfRule type="containsText" dxfId="4" priority="5" operator="containsText" text="Requires Correction"/>
    <x:cfRule type="containsText" dxfId="5" priority="6" operator="containsText" text="Pending"/>
    <x:cfRule type="containsText" dxfId="6" priority="7" operator="containsText" text="Out of Scope"/>
  </x:conditionalFormatting>
  <x:conditionalFormatting sqref="G5:G213">
    <x:cfRule type="dataBar" priority="8">
      <x:dataBar>
        <x:cfvo type="min"/>
        <x:cfvo type="max"/>
        <x:color rgb="FFF7B500"/>
      </x:dataBar>
      <x:extLst>
        <x:ext xmlns:x14="http://schemas.microsoft.com/office/spreadsheetml/2009/9/main" uri="{B025F937-C7B1-47D3-B67F-A62EFF666E3E}">
          <x14:id>{2CE813AB-3D70-59D4-A943-06E03FFCBB47}</x14:id>
        </x:ext>
      </x:extLst>
    </x:cfRule>
  </x:conditionalFormatting>
  <x:dataValidations count="4">
    <x:dataValidation type="list" sqref="F5:F413">
      <x:formula1>'Lists'!$A$2:$A$9</x:formula1>
    </x:dataValidation>
    <x:dataValidation type="list" sqref="H5:H413">
      <x:formula1>'Lists'!$B$2:$B$6</x:formula1>
    </x:dataValidation>
    <x:dataValidation type="list" sqref="J5:J413">
      <x:formula1>'Lists'!$C$2:$C$10</x:formula1>
    </x:dataValidation>
    <x:dataValidation type="list" sqref="I5:I413">
      <x:formula1>'Lists'!$D$2:$D$10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a0c83eee8d420c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2CE813AB-3D70-59D4-A943-06E03FFCBB47}">
            <x14:dataBar gradient="1">
              <x14:cfvo type="min"/>
              <x14:cfvo type="max"/>
              <x14:fillColor rgb="FFF7B500"/>
            </x14:dataBar>
          </x14:cfRule>
          <xm:sqref>G5:G213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34" hidden="0" customWidth="1"/>
    <x:col min="4" max="4" width="38" hidden="0" customWidth="1"/>
    <x:col min="5" max="5" width="55" hidden="0" customWidth="1"/>
    <x:col min="6" max="6" width="48" hidden="0" customWidth="1"/>
    <x:col min="7" max="7" width="16" hidden="0" customWidth="1"/>
  </x:cols>
  <x:sheetData>
    <x:row r="1">
      <x:c r="A1" s="138" t="str">
        <x:v>JaniWheels Step-by-Step Development Roadmap</x:v>
      </x:c>
      <x:c r="B1" s="138"/>
      <x:c r="C1" s="138"/>
      <x:c r="D1" s="138"/>
      <x:c r="E1" s="138"/>
      <x:c r="F1" s="138"/>
      <x:c r="G1" s="138"/>
    </x:row>
    <x:row r="2">
      <x:c r="A2" s="139" t="str">
        <x:v>Development-first sequence: implement -&gt; automated checks + database acceptance -&gt; local commit -&gt; explicit approval before push/merge. Comprehensive browser, branding and responsive QA occur after functionality is complete.</x:v>
      </x:c>
      <x:c r="B2" s="139"/>
      <x:c r="C2" s="139"/>
      <x:c r="D2" s="139"/>
      <x:c r="E2" s="139"/>
      <x:c r="F2" s="139"/>
      <x:c r="G2" s="139"/>
    </x:row>
    <x:row r="3">
      <x:c r="A3" s="88"/>
      <x:c r="B3" s="88"/>
      <x:c r="C3" s="88"/>
      <x:c r="D3" s="88"/>
      <x:c r="E3" s="88"/>
      <x:c r="F3" s="88"/>
      <x:c r="G3" s="88"/>
    </x:row>
    <x:row r="4">
      <x:c r="A4" s="140" t="str">
        <x:v>Order</x:v>
      </x:c>
      <x:c r="B4" s="140" t="str">
        <x:v>Stage</x:v>
      </x:c>
      <x:c r="C4" s="140" t="str">
        <x:v>Work Package</x:v>
      </x:c>
      <x:c r="D4" s="140" t="str">
        <x:v>Suggested Branch</x:v>
      </x:c>
      <x:c r="E4" s="140" t="str">
        <x:v>Included Scope</x:v>
      </x:c>
      <x:c r="F4" s="140" t="str">
        <x:v>Exit Gate</x:v>
      </x:c>
      <x:c r="G4" s="140" t="str">
        <x:v>Status</x:v>
      </x:c>
    </x:row>
    <x:row r="5">
      <x:c r="A5" s="88" t="str">
        <x:v>0.1</x:v>
      </x:c>
      <x:c r="B5" s="88" t="str">
        <x:v>Stage 0</x:v>
      </x:c>
      <x:c r="C5" s="141" t="str">
        <x:v>Homepage branch review</x:v>
      </x:c>
      <x:c r="D5" s="141" t="str">
        <x:v>feature/homepage-ui-redesign</x:v>
      </x:c>
      <x:c r="E5" s="141" t="str">
        <x:v>User reviews desktop/mobile local preview; requested UI defects are fixed; automated checks pass.</x:v>
      </x:c>
      <x:c r="F5" s="141" t="str">
        <x:v>PR #2 approved and merged only after explicit user approval.</x:v>
      </x:c>
      <x:c r="G5" s="141" t="str">
        <x:v>Completed</x:v>
      </x:c>
    </x:row>
    <x:row r="6">
      <x:c r="A6" s="88" t="str">
        <x:v>1.1</x:v>
      </x:c>
      <x:c r="B6" s="88" t="str">
        <x:v>Stage 1</x:v>
      </x:c>
      <x:c r="C6" s="141" t="str">
        <x:v>Private listing visibility</x:v>
      </x:c>
      <x:c r="D6" s="141" t="str">
        <x:v>security/inactive-listing-visibility</x:v>
      </x:c>
      <x:c r="E6" s="141" t="str">
        <x:v>Non-active listings cannot be viewed/contacted by the public; owner/admin exceptions are tested.</x:v>
      </x:c>
      <x:c r="F6" s="141" t="str">
        <x:v>Critical security regression tests pass.</x:v>
      </x:c>
      <x:c r="G6" s="141" t="str">
        <x:v>Completed</x:v>
      </x:c>
    </x:row>
    <x:row r="7">
      <x:c r="A7" s="88" t="str">
        <x:v>1.2</x:v>
      </x:c>
      <x:c r="B7" s="88" t="str">
        <x:v>Stage 1</x:v>
      </x:c>
      <x:c r="C7" s="141" t="str">
        <x:v>Instant publication alignment</x:v>
      </x:c>
      <x:c r="D7" s="141" t="str">
        <x:v>feature/instant-listing-publication</x:v>
      </x:c>
      <x:c r="E7" s="141" t="str">
        <x:v>Valid listings publish active immediately and moderation becomes post-publication.</x:v>
      </x:c>
      <x:c r="F7" s="141" t="str">
        <x:v>Cars verified for individual/unverified/verified dealer cases.</x:v>
      </x:c>
      <x:c r="G7" s="141" t="str">
        <x:v>Completed</x:v>
      </x:c>
    </x:row>
    <x:row r="8">
      <x:c r="A8" s="88" t="str">
        <x:v>1.3</x:v>
      </x:c>
      <x:c r="B8" s="88" t="str">
        <x:v>Stage 1</x:v>
      </x:c>
      <x:c r="C8" s="141" t="str">
        <x:v>Parts filter correctness</x:v>
      </x:c>
      <x:c r="D8" s="141" t="str">
        <x:v>fix/parts-search-filters</x:v>
      </x:c>
      <x:c r="E8" s="141" t="str">
        <x:v>Category and condition URLs accurately filter results.</x:v>
      </x:c>
      <x:c r="F8" s="141" t="str">
        <x:v>DB integration cases pass for all parts facets.</x:v>
      </x:c>
      <x:c r="G8" s="141" t="str">
        <x:v>Completed</x:v>
      </x:c>
    </x:row>
    <x:row r="9">
      <x:c r="A9" s="88" t="str">
        <x:v>1.4</x:v>
      </x:c>
      <x:c r="B9" s="88" t="str">
        <x:v>Stage 1</x:v>
      </x:c>
      <x:c r="C9" s="141" t="str">
        <x:v>Upload ownership and rate limiting</x:v>
      </x:c>
      <x:c r="D9" s="141" t="str">
        <x:v>security/upload-and-abuse-controls</x:v>
      </x:c>
      <x:c r="E9" s="141" t="str">
        <x:v>Media keys are user-bound and critical endpoints are throttled.</x:v>
      </x:c>
      <x:c r="F9" s="141" t="str">
        <x:v>Cross-user/abuse tests pass.</x:v>
      </x:c>
      <x:c r="G9" s="141" t="str">
        <x:v>Completed</x:v>
      </x:c>
    </x:row>
    <x:row r="10">
      <x:c r="A10" s="88" t="str">
        <x:v>2.1</x:v>
      </x:c>
      <x:c r="B10" s="88" t="str">
        <x:v>Stage 2</x:v>
      </x:c>
      <x:c r="C10" s="141" t="str">
        <x:v>Complete car form and edit/delete</x:v>
      </x:c>
      <x:c r="D10" s="141" t="str">
        <x:v>feature/car-listing-crud</x:v>
      </x:c>
      <x:c r="E10" s="141" t="str">
        <x:v>All agreed car fields and owner CRUD work with image management.</x:v>
      </x:c>
      <x:c r="F10" s="141" t="str">
        <x:v>Car acceptance and security suite passes.</x:v>
      </x:c>
      <x:c r="G10" s="141" t="str">
        <x:v>Completed</x:v>
      </x:c>
    </x:row>
    <x:row r="11">
      <x:c r="A11" s="88" t="str">
        <x:v>2.2</x:v>
      </x:c>
      <x:c r="B11" s="88" t="str">
        <x:v>Stage 2</x:v>
      </x:c>
      <x:c r="C11" s="141" t="str">
        <x:v>Bike listing CRUD</x:v>
      </x:c>
      <x:c r="D11" s="141" t="str">
        <x:v>feature/bike-listing-crud</x:v>
      </x:c>
      <x:c r="E11" s="141" t="str">
        <x:v>Bike create/edit/delete/mark sold works end to end.</x:v>
      </x:c>
      <x:c r="F11" s="141" t="str">
        <x:v>Bike acceptance suite passes.</x:v>
      </x:c>
      <x:c r="G11" s="141" t="str">
        <x:v>Completed</x:v>
      </x:c>
    </x:row>
    <x:row r="12">
      <x:c r="A12" s="88" t="str">
        <x:v>2.3</x:v>
      </x:c>
      <x:c r="B12" s="88" t="str">
        <x:v>Stage 2</x:v>
      </x:c>
      <x:c r="C12" s="141" t="str">
        <x:v>Parts listing CRUD</x:v>
      </x:c>
      <x:c r="D12" s="141" t="str">
        <x:v>feature/parts-listing-crud</x:v>
      </x:c>
      <x:c r="E12" s="141" t="str">
        <x:v>Parts classified create/edit/delete works with compatibility and no e-commerce.</x:v>
      </x:c>
      <x:c r="F12" s="141" t="str">
        <x:v>Parts acceptance suite passes.</x:v>
      </x:c>
      <x:c r="G12" s="141" t="str">
        <x:v>Completed</x:v>
      </x:c>
    </x:row>
    <x:row r="13">
      <x:c r="A13" s="88" t="str">
        <x:v>2.4</x:v>
      </x:c>
      <x:c r="B13" s="88" t="str">
        <x:v>Stage 2</x:v>
      </x:c>
      <x:c r="C13" s="141" t="str">
        <x:v>Profile and password recovery</x:v>
      </x:c>
      <x:c r="D13" s="141" t="str">
        <x:v>feature/account-management</x:v>
      </x:c>
      <x:c r="E13" s="141" t="str">
        <x:v>Profile edit and secure email-based password reset work.</x:v>
      </x:c>
      <x:c r="F13" s="141" t="str">
        <x:v>Account E2E and security cases pass.</x:v>
      </x:c>
      <x:c r="G13" s="141" t="str">
        <x:v>Completed</x:v>
      </x:c>
    </x:row>
    <x:row r="14">
      <x:c r="A14" s="88" t="str">
        <x:v>3.1</x:v>
      </x:c>
      <x:c r="B14" s="88" t="str">
        <x:v>Stage 3</x:v>
      </x:c>
      <x:c r="C14" s="141" t="str">
        <x:v>Browse filter experience</x:v>
      </x:c>
      <x:c r="D14" s="141" t="str">
        <x:v>feature/browse-filters</x:v>
      </x:c>
      <x:c r="E14" s="141" t="str">
        <x:v>All supported filters are accessible on desktop/mobile and URL-synchronized.</x:v>
      </x:c>
      <x:c r="F14" s="141" t="str">
        <x:v>Filter accuracy and responsive tests pass.</x:v>
      </x:c>
      <x:c r="G14" s="141" t="str">
        <x:v>Completed</x:v>
      </x:c>
    </x:row>
    <x:row r="15">
      <x:c r="A15" s="88" t="str">
        <x:v>3.2</x:v>
      </x:c>
      <x:c r="B15" s="88" t="str">
        <x:v>Stage 3</x:v>
      </x:c>
      <x:c r="C15" s="141" t="str">
        <x:v>Favourites and recently viewed</x:v>
      </x:c>
      <x:c r="D15" s="141" t="str">
        <x:v>feature/buyer-retention</x:v>
      </x:c>
      <x:c r="E15" s="141" t="str">
        <x:v>Save/unsave, saved page and conditional recent history work.</x:v>
      </x:c>
      <x:c r="F15" s="141" t="str">
        <x:v>Auth/anonymous/stale-data cases pass.</x:v>
      </x:c>
      <x:c r="G15" s="141" t="str">
        <x:v>Completed</x:v>
      </x:c>
    </x:row>
    <x:row r="16">
      <x:c r="A16" s="88" t="str">
        <x:v>3.3</x:v>
      </x:c>
      <x:c r="B16" s="88" t="str">
        <x:v>Stage 3</x:v>
      </x:c>
      <x:c r="C16" s="141" t="str">
        <x:v>Vehicle comparison</x:v>
      </x:c>
      <x:c r="D16" s="141" t="str">
        <x:v>feature/vehicle-comparison</x:v>
      </x:c>
      <x:c r="E16" s="141" t="str">
        <x:v>2-3 comparable listings can be reviewed side by side.</x:v>
      </x:c>
      <x:c r="F16" s="141" t="str">
        <x:v>Selection limits and mobile layout pass.</x:v>
      </x:c>
      <x:c r="G16" s="141" t="str">
        <x:v>Completed</x:v>
      </x:c>
    </x:row>
    <x:row r="17">
      <x:c r="A17" s="88" t="str">
        <x:v>3.4</x:v>
      </x:c>
      <x:c r="B17" s="88" t="str">
        <x:v>Stage 3</x:v>
      </x:c>
      <x:c r="C17" s="141" t="str">
        <x:v>Saved searches and email alerts</x:v>
      </x:c>
      <x:c r="D17" s="141" t="str">
        <x:v>feature/saved-search-alerts</x:v>
      </x:c>
      <x:c r="E17" s="141" t="str">
        <x:v>Users manage saved filters and receive deduplicated consented alerts.</x:v>
      </x:c>
      <x:c r="F17" s="141" t="str">
        <x:v>Match and delivery tests pass.</x:v>
      </x:c>
      <x:c r="G17" s="141" t="str">
        <x:v>Completed</x:v>
      </x:c>
    </x:row>
    <x:row r="18">
      <x:c r="A18" s="88" t="str">
        <x:v>4.1</x:v>
      </x:c>
      <x:c r="B18" s="88" t="str">
        <x:v>Stage 4</x:v>
      </x:c>
      <x:c r="C18" s="141" t="str">
        <x:v>Dealer settings and verification</x:v>
      </x:c>
      <x:c r="D18" s="141" t="str">
        <x:v>feature/dealer-administration</x:v>
      </x:c>
      <x:c r="E18" s="141" t="str">
        <x:v>Dealer profile editing/logo and manual verification/revocation work.</x:v>
      </x:c>
      <x:c r="F18" s="141" t="str">
        <x:v>Badge consistency and admin auth pass.</x:v>
      </x:c>
      <x:c r="G18" s="141" t="str">
        <x:v>Completed</x:v>
      </x:c>
    </x:row>
    <x:row r="19">
      <x:c r="A19" s="88" t="str">
        <x:v>4.2</x:v>
      </x:c>
      <x:c r="B19" s="88" t="str">
        <x:v>Stage 4</x:v>
      </x:c>
      <x:c r="C19" s="141" t="str">
        <x:v>Admin listing/user controls</x:v>
      </x:c>
      <x:c r="D19" s="141" t="str">
        <x:v>feature/admin-controls</x:v>
      </x:c>
      <x:c r="E19" s="141" t="str">
        <x:v>Flag/unpublish/edit/reinstate and ban/unban are logged and safe.</x:v>
      </x:c>
      <x:c r="F19" s="141" t="str">
        <x:v>Transition and authorization matrix passes.</x:v>
      </x:c>
      <x:c r="G19" s="141" t="str">
        <x:v>Completed</x:v>
      </x:c>
    </x:row>
    <x:row r="20">
      <x:c r="A20" s="88" t="str">
        <x:v>5.1</x:v>
      </x:c>
      <x:c r="B20" s="88" t="str">
        <x:v>Stage 5</x:v>
      </x:c>
      <x:c r="C20" s="141" t="str">
        <x:v>Inspection request administration</x:v>
      </x:c>
      <x:c r="D20" s="141" t="str">
        <x:v>feature/inspection-admin</x:v>
      </x:c>
      <x:c r="E20" s="141" t="str">
        <x:v>Staff can manage request-based inspection follow-up only.</x:v>
      </x:c>
      <x:c r="F20" s="141" t="str">
        <x:v>Admin workflow tests pass; no workforce scope added.</x:v>
      </x:c>
      <x:c r="G20" s="141" t="str">
        <x:v>Completed</x:v>
      </x:c>
    </x:row>
    <x:row r="21">
      <x:c r="A21" s="88" t="str">
        <x:v>5.2</x:v>
      </x:c>
      <x:c r="B21" s="88" t="str">
        <x:v>Stage 5</x:v>
      </x:c>
      <x:c r="C21" s="141" t="str">
        <x:v>Sell My Car Assistance</x:v>
      </x:c>
      <x:c r="D21" s="141" t="str">
        <x:v>feature/sell-my-car-assistance</x:v>
      </x:c>
      <x:c r="E21" s="141" t="str">
        <x:v>Public request and admin follow-up workflows work.</x:v>
      </x:c>
      <x:c r="F21" s="141" t="str">
        <x:v>Submission, privacy and status tests pass.</x:v>
      </x:c>
      <x:c r="G21" s="141" t="str">
        <x:v>Completed</x:v>
      </x:c>
    </x:row>
    <x:row r="22">
      <x:c r="A22" s="88" t="str">
        <x:v>6.1</x:v>
      </x:c>
      <x:c r="B22" s="88" t="str">
        <x:v>Stage 6</x:v>
      </x:c>
      <x:c r="C22" s="141" t="str">
        <x:v>Legal/content pages</x:v>
      </x:c>
      <x:c r="D22" s="141" t="str">
        <x:v>feature/legal-and-content</x:v>
      </x:c>
      <x:c r="E22" s="141" t="str">
        <x:v>Terms, Privacy, About, Contact and Safety are approved and live.</x:v>
      </x:c>
      <x:c r="F22" s="141" t="str">
        <x:v>Content/link/metadata review passes.</x:v>
      </x:c>
      <x:c r="G22" s="141" t="str">
        <x:v>Completed</x:v>
      </x:c>
    </x:row>
    <x:row r="23">
      <x:c r="A23" s="88" t="str">
        <x:v>6.2</x:v>
      </x:c>
      <x:c r="B23" s="88" t="str">
        <x:v>Stage 6</x:v>
      </x:c>
      <x:c r="C23" s="141" t="str">
        <x:v>CI, automated testing and staging</x:v>
      </x:c>
      <x:c r="D23" s="141" t="str">
        <x:v>chore/launch-quality-system</x:v>
      </x:c>
      <x:c r="E23" s="141" t="str">
        <x:v>PR checks, staging, E2E and monitoring are operational.</x:v>
      </x:c>
      <x:c r="F23" s="141" t="str">
        <x:v>Deliberate failure blocks merge; staging smoke passes.</x:v>
      </x:c>
      <x:c r="G23" s="141" t="str">
        <x:v>In Progress</x:v>
      </x:c>
    </x:row>
    <x:row r="24">
      <x:c r="A24" s="88" t="str">
        <x:v>6.3</x:v>
      </x:c>
      <x:c r="B24" s="88" t="str">
        <x:v>Stage 6</x:v>
      </x:c>
      <x:c r="C24" s="141" t="str">
        <x:v>Production infrastructure and hardening</x:v>
      </x:c>
      <x:c r="D24" s="141" t="str">
        <x:v>chore/production-readiness</x:v>
      </x:c>
      <x:c r="E24" s="141" t="str">
        <x:v>DB/media/backups/cron/logs/domain/security/load tests are complete.</x:v>
      </x:c>
      <x:c r="F24" s="141" t="str">
        <x:v>Formal launch checklist has no open critical/high issue.</x:v>
      </x:c>
      <x:c r="G24" s="141" t="str">
        <x:v>Not Started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c24fce980ace4cf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42" hidden="0" customWidth="1"/>
    <x:col min="4" max="4" width="26" hidden="0" customWidth="1"/>
    <x:col min="5" max="5" width="18" hidden="0" customWidth="1"/>
    <x:col min="6" max="6" width="22" hidden="0" customWidth="1"/>
    <x:col min="7" max="7" width="38" hidden="0" customWidth="1"/>
    <x:col min="8" max="8" width="46" hidden="0" customWidth="1"/>
  </x:cols>
  <x:sheetData>
    <x:row r="1">
      <x:c r="A1" s="138" t="str">
        <x:v>JaniWheels Master Test Matrix</x:v>
      </x:c>
      <x:c r="B1" s="138"/>
      <x:c r="C1" s="138"/>
      <x:c r="D1" s="138"/>
      <x:c r="E1" s="138"/>
      <x:c r="F1" s="138"/>
      <x:c r="G1" s="138"/>
      <x:c r="H1" s="138"/>
    </x:row>
    <x:row r="2">
      <x:c r="A2" s="139" t="str">
        <x:v>A feature is not complete until its success, validation, authorization, empty/error, responsive and regression cases are passed.</x:v>
      </x:c>
      <x:c r="B2" s="139"/>
      <x:c r="C2" s="139"/>
      <x:c r="D2" s="139"/>
      <x:c r="E2" s="139"/>
      <x:c r="F2" s="139"/>
      <x:c r="G2" s="139"/>
      <x:c r="H2" s="139"/>
    </x:row>
    <x:row r="3">
      <x:c r="A3" s="88"/>
      <x:c r="B3" s="88"/>
      <x:c r="C3" s="88"/>
      <x:c r="D3" s="88"/>
      <x:c r="E3" s="88"/>
      <x:c r="F3" s="88"/>
      <x:c r="G3" s="88"/>
      <x:c r="H3" s="88"/>
    </x:row>
    <x:row r="4">
      <x:c r="A4" s="140" t="str">
        <x:v>Test ID</x:v>
      </x:c>
      <x:c r="B4" s="140" t="str">
        <x:v>Module</x:v>
      </x:c>
      <x:c r="C4" s="140" t="str">
        <x:v>Scenario</x:v>
      </x:c>
      <x:c r="D4" s="140" t="str">
        <x:v>Test Type</x:v>
      </x:c>
      <x:c r="E4" s="140" t="str">
        <x:v>Automation</x:v>
      </x:c>
      <x:c r="F4" s="140" t="str">
        <x:v>Current Result</x:v>
      </x:c>
      <x:c r="G4" s="140" t="str">
        <x:v>Entry Condition</x:v>
      </x:c>
      <x:c r="H4" s="140" t="str">
        <x:v>Expected Result</x:v>
      </x:c>
    </x:row>
    <x:row r="5">
      <x:c r="A5" s="88" t="str">
        <x:v>T-001</x:v>
      </x:c>
      <x:c r="B5" s="88" t="str">
        <x:v>Authentication</x:v>
      </x:c>
      <x:c r="C5" s="141" t="str">
        <x:v>Register valid user</x:v>
      </x:c>
      <x:c r="D5" s="141" t="str">
        <x:v>Integration + E2E</x:v>
      </x:c>
      <x:c r="E5" s="141" t="str">
        <x:v>Desktop/mobile Chromium registration, captured verification link and isolated DB/session assertions</x:v>
      </x:c>
      <x:c r="F5" s="141" t="str">
        <x:v>Passed: unverified user cannot sign in; one-use verification link activates account and permits sign-in; expired link fails</x:v>
      </x:c>
      <x:c r="G5" s="141" t="str">
        <x:v>Clean DB and valid unique data</x:v>
      </x:c>
      <x:c r="H5" s="141" t="str">
        <x:v>User created without session; verified email required before sign-in</x:v>
      </x:c>
    </x:row>
    <x:row r="6">
      <x:c r="A6" s="88" t="str">
        <x:v>T-002</x:v>
      </x:c>
      <x:c r="B6" s="88" t="str">
        <x:v>Authentication</x:v>
      </x:c>
      <x:c r="C6" s="141" t="str">
        <x:v>Reject invalid/duplicate registration</x:v>
      </x:c>
      <x:c r="D6" s="141" t="str">
        <x:v>Integration</x:v>
      </x:c>
      <x:c r="E6" s="141" t="str">
        <x:v>Desktop/mobile Chromium duplicate email, malformed name/password and DB user-count assertions</x:v>
      </x:c>
      <x:c r="F6" s="141" t="str">
        <x:v>Partial pass: duplicate, short name and short password rejected without new users; malformed email/phone and direct-action cases remain</x:v>
      </x:c>
      <x:c r="G6" s="141" t="str">
        <x:v>Existing account and malformed inputs</x:v>
      </x:c>
      <x:c r="H6" s="141" t="str">
        <x:v>Safe field errors; no duplicate user</x:v>
      </x:c>
    </x:row>
    <x:row r="7">
      <x:c r="A7" s="88" t="str">
        <x:v>T-003</x:v>
      </x:c>
      <x:c r="B7" s="88" t="str">
        <x:v>Authentication</x:v>
      </x:c>
      <x:c r="C7" s="141" t="str">
        <x:v>Login valid/invalid/banned user</x:v>
      </x:c>
      <x:c r="D7" s="141" t="str">
        <x:v>Security + E2E</x:v>
      </x:c>
      <x:c r="E7" s="141" t="str">
        <x:v>Desktop/mobile Chromium valid, invalid, banned and unverified login plus DB session check</x:v>
      </x:c>
      <x:c r="F7" s="141" t="str">
        <x:v>Passed: valid users sign in; invalid/banned denied; unverified denied until verification; no forbidden sessions</x:v>
      </x:c>
      <x:c r="G7" s="141" t="str">
        <x:v>Users in each state</x:v>
      </x:c>
      <x:c r="H7" s="141" t="str">
        <x:v>Only valid active user gets session</x:v>
      </x:c>
    </x:row>
    <x:row r="8">
      <x:c r="A8" s="88" t="str">
        <x:v>T-004</x:v>
      </x:c>
      <x:c r="B8" s="88" t="str">
        <x:v>Authentication</x:v>
      </x:c>
      <x:c r="C8" s="141" t="str">
        <x:v>Logout and expired/tampered session</x:v>
      </x:c>
      <x:c r="D8" s="141" t="str">
        <x:v>Integration + Security</x:v>
      </x:c>
      <x:c r="E8" s="141" t="str">
        <x:v>Manual only</x:v>
      </x:c>
      <x:c r="F8" s="141" t="str">
        <x:v>Pending automation</x:v>
      </x:c>
      <x:c r="G8" s="141" t="str">
        <x:v>Active/expired/tampered tokens</x:v>
      </x:c>
      <x:c r="H8" s="141" t="str">
        <x:v>Session invalidated or rejected</x:v>
      </x:c>
    </x:row>
    <x:row r="9">
      <x:c r="A9" s="88" t="str">
        <x:v>T-005</x:v>
      </x:c>
      <x:c r="B9" s="88" t="str">
        <x:v>Authentication</x:v>
      </x:c>
      <x:c r="C9" s="141" t="str">
        <x:v>Password reset token lifecycle</x:v>
      </x:c>
      <x:c r="D9" s="141" t="str">
        <x:v>Security + E2E</x:v>
      </x:c>
      <x:c r="E9" s="141" t="str">
        <x:v>Desktop/mobile Chromium reset link, isolated DB token/session assertions and invalid-token lifecycle</x:v>
      </x:c>
      <x:c r="F9" s="141" t="str">
        <x:v>Passed: hashed single-use token, expiry denial, session revocation, old-password denial and new-password sign-in</x:v>
      </x:c>
      <x:c r="G9" s="141" t="str">
        <x:v>Reset feature complete</x:v>
      </x:c>
      <x:c r="H9" s="141" t="str">
        <x:v>Single-use expiry and session revocation work</x:v>
      </x:c>
    </x:row>
    <x:row r="10">
      <x:c r="A10" s="88" t="str">
        <x:v>T-006</x:v>
      </x:c>
      <x:c r="B10" s="88" t="str">
        <x:v>Authorization</x:v>
      </x:c>
      <x:c r="C10" s="141" t="str">
        <x:v>Cross-user listing/media access</x:v>
      </x:c>
      <x:c r="D10" s="141" t="str">
        <x:v>Security integration</x:v>
      </x:c>
      <x:c r="E10" s="141" t="str">
        <x:v>Automated feature checks plus desktop/mobile Chromium cross-user edit-page denial</x:v>
      </x:c>
      <x:c r="F10" s="141" t="str">
        <x:v>Partial pass: rendered not-found and no edit controls for another seller; direct action/media IDOR cases remain</x:v>
      </x:c>
      <x:c r="G10" s="141" t="str">
        <x:v>Two users with listings/uploads</x:v>
      </x:c>
      <x:c r="H10" s="141" t="str">
        <x:v>Every unauthorized read/write is denied</x:v>
      </x:c>
    </x:row>
    <x:row r="11">
      <x:c r="A11" s="88" t="str">
        <x:v>T-007</x:v>
      </x:c>
      <x:c r="B11" s="88" t="str">
        <x:v>Listings</x:v>
      </x:c>
      <x:c r="C11" s="141" t="str">
        <x:v>Create car with all required/optional fields</x:v>
      </x:c>
      <x:c r="D11" s="141" t="str">
        <x:v>Integration + E2E</x:v>
      </x:c>
      <x:c r="E11" s="141" t="str">
        <x:v>Desktop/mobile Chromium publication with photo</x:v>
      </x:c>
      <x:c r="F11" s="141" t="str">
        <x:v>Passed: active car and detail redirect; optional-field boundaries remain open</x:v>
      </x:c>
      <x:c r="G11" s="141" t="str">
        <x:v>Seeded taxonomy and upload provider</x:v>
      </x:c>
      <x:c r="H11" s="141" t="str">
        <x:v>Correct active car and related rows created atomically</x:v>
      </x:c>
    </x:row>
    <x:row r="12">
      <x:c r="A12" s="88" t="str">
        <x:v>T-008</x:v>
      </x:c>
      <x:c r="B12" s="88" t="str">
        <x:v>Listings</x:v>
      </x:c>
      <x:c r="C12" s="141" t="str">
        <x:v>Car validation boundaries/tampering</x:v>
      </x:c>
      <x:c r="D12" s="141" t="str">
        <x:v>Unit + Integration</x:v>
      </x:c>
      <x:c r="E12" s="141" t="str">
        <x:v>Automated seller schema boundary checks plus desktop/mobile Chromium car publication and DB verification</x:v>
      </x:c>
      <x:c r="F12" s="141" t="str">
        <x:v>Partial pass: price/year/photo limits and registration/auction conflicts; invalid IDs and direct action tampering still open</x:v>
      </x:c>
      <x:c r="G12" s="141" t="str">
        <x:v>Invalid IDs, price, year, mileage, images</x:v>
      </x:c>
      <x:c r="H12" s="141" t="str">
        <x:v>Submission rejected with clear messages</x:v>
      </x:c>
    </x:row>
    <x:row r="13">
      <x:c r="A13" s="88" t="str">
        <x:v>T-009</x:v>
      </x:c>
      <x:c r="B13" s="88" t="str">
        <x:v>Listings</x:v>
      </x:c>
      <x:c r="C13" s="141" t="str">
        <x:v>Instant publication by seller/dealer type</x:v>
      </x:c>
      <x:c r="D13" s="141" t="str">
        <x:v>Integration</x:v>
      </x:c>
      <x:c r="E13" s="141" t="str">
        <x:v>Automated checks</x:v>
      </x:c>
      <x:c r="F13" s="141" t="str">
        <x:v>Passed</x:v>
      </x:c>
      <x:c r="G13" s="141" t="str">
        <x:v>Individual/unverified/verified dealer</x:v>
      </x:c>
      <x:c r="H13" s="141" t="str">
        <x:v>All valid listings publish per locked rule</x:v>
      </x:c>
    </x:row>
    <x:row r="14">
      <x:c r="A14" s="88" t="str">
        <x:v>T-010</x:v>
      </x:c>
      <x:c r="B14" s="88" t="str">
        <x:v>Listings</x:v>
      </x:c>
      <x:c r="C14" s="141" t="str">
        <x:v>Create bike end to end</x:v>
      </x:c>
      <x:c r="D14" s="141" t="str">
        <x:v>Integration + E2E</x:v>
      </x:c>
      <x:c r="E14" s="141" t="str">
        <x:v>Desktop/mobile Chromium publication with photo</x:v>
      </x:c>
      <x:c r="F14" s="141" t="str">
        <x:v>Passed: active bike and detail redirect; electric path remains open</x:v>
      </x:c>
      <x:c r="G14" s="141" t="str">
        <x:v>Bike CRUD complete</x:v>
      </x:c>
      <x:c r="H14" s="141" t="str">
        <x:v>Correct bike detail and search facets</x:v>
      </x:c>
    </x:row>
    <x:row r="15">
      <x:c r="A15" s="88" t="str">
        <x:v>T-011</x:v>
      </x:c>
      <x:c r="B15" s="88" t="str">
        <x:v>Listings</x:v>
      </x:c>
      <x:c r="C15" s="141" t="str">
        <x:v>Create parts end to end</x:v>
      </x:c>
      <x:c r="D15" s="141" t="str">
        <x:v>Integration + E2E</x:v>
      </x:c>
      <x:c r="E15" s="141" t="str">
        <x:v>Desktop/mobile Chromium publication with photo</x:v>
      </x:c>
      <x:c r="F15" s="141" t="str">
        <x:v>Passed: active part and detail redirect; fitment cases remain open</x:v>
      </x:c>
      <x:c r="G15" s="141" t="str">
        <x:v>Parts CRUD complete</x:v>
      </x:c>
      <x:c r="H15" s="141" t="str">
        <x:v>Correct classified part without commerce fields</x:v>
      </x:c>
    </x:row>
    <x:row r="16">
      <x:c r="A16" s="88" t="str">
        <x:v>T-012</x:v>
      </x:c>
      <x:c r="B16" s="88" t="str">
        <x:v>Listings</x:v>
      </x:c>
      <x:c r="C16" s="141" t="str">
        <x:v>Edit listing and resync facets/slug</x:v>
      </x:c>
      <x:c r="D16" s="141" t="str">
        <x:v>Integration + SEO</x:v>
      </x:c>
      <x:c r="E16" s="141" t="str">
        <x:v>Automated checks plus desktop/mobile Chromium owner car edit with DB price/status assertion</x:v>
      </x:c>
      <x:c r="F16" s="141" t="str">
        <x:v>Passed owner price edit; facet and slug resync remain covered by feature checks</x:v>
      </x:c>
      <x:c r="G16" s="141" t="str">
        <x:v>Edit flow complete</x:v>
      </x:c>
      <x:c r="H16" s="141" t="str">
        <x:v>Owner edit persists and canonical redirect works</x:v>
      </x:c>
    </x:row>
    <x:row r="17">
      <x:c r="A17" s="88" t="str">
        <x:v>T-013</x:v>
      </x:c>
      <x:c r="B17" s="88" t="str">
        <x:v>Listings</x:v>
      </x:c>
      <x:c r="C17" s="141" t="str">
        <x:v>Delete listing and related data/media</x:v>
      </x:c>
      <x:c r="D17" s="141" t="str">
        <x:v>Integration + Security</x:v>
      </x:c>
      <x:c r="E17" s="141" t="str">
        <x:v>Automated checks plus desktop/mobile Chromium bike deletion with DB, public URL and photo assertions</x:v>
      </x:c>
      <x:c r="F17" s="141" t="str">
        <x:v>Passed: row soft-deleted, photo links removed, public listing and stored image unavailable</x:v>
      </x:c>
      <x:c r="G17" s="141" t="str">
        <x:v>Delete policy complete</x:v>
      </x:c>
      <x:c r="H17" s="141" t="str">
        <x:v>Only owner/admin deletes; visibility/media follow policy</x:v>
      </x:c>
    </x:row>
    <x:row r="18">
      <x:c r="A18" s="88" t="str">
        <x:v>T-014</x:v>
      </x:c>
      <x:c r="B18" s="88" t="str">
        <x:v>Listings</x:v>
      </x:c>
      <x:c r="C18" s="141" t="str">
        <x:v>Mark sold and expiry lifecycle</x:v>
      </x:c>
      <x:c r="D18" s="141" t="str">
        <x:v>Integration</x:v>
      </x:c>
      <x:c r="E18" s="141" t="str">
        <x:v>Manual only</x:v>
      </x:c>
      <x:c r="F18" s="141" t="str">
        <x:v>Pending automation</x:v>
      </x:c>
      <x:c r="G18" s="141" t="str">
        <x:v>Active listing and cron secret</x:v>
      </x:c>
      <x:c r="H18" s="141" t="str">
        <x:v>Search/contact/SEO states update correctly</x:v>
      </x:c>
    </x:row>
    <x:row r="19">
      <x:c r="A19" s="88" t="str">
        <x:v>T-015</x:v>
      </x:c>
      <x:c r="B19" s="88" t="str">
        <x:v>Listings</x:v>
      </x:c>
      <x:c r="C19" s="141" t="str">
        <x:v>Inactive listing direct URL exposure</x:v>
      </x:c>
      <x:c r="D19" s="141" t="str">
        <x:v>Security E2E</x:v>
      </x:c>
      <x:c r="E19" s="141" t="str">
        <x:v>Automated checks</x:v>
      </x:c>
      <x:c r="F19" s="141" t="str">
        <x:v>Passed</x:v>
      </x:c>
      <x:c r="G19" s="141" t="str">
        <x:v>Listings in every non-active status</x:v>
      </x:c>
      <x:c r="H19" s="141" t="str">
        <x:v>Public gets approved 404/gone state; owner/admin rules hold</x:v>
      </x:c>
    </x:row>
    <x:row r="20">
      <x:c r="A20" s="88" t="str">
        <x:v>T-016</x:v>
      </x:c>
      <x:c r="B20" s="88" t="str">
        <x:v>Media</x:v>
      </x:c>
      <x:c r="C20" s="141" t="str">
        <x:v>Upload valid images and enforce size/count</x:v>
      </x:c>
      <x:c r="D20" s="141" t="str">
        <x:v>Integration</x:v>
      </x:c>
      <x:c r="E20" s="141" t="str">
        <x:v>Desktop/mobile Chromium upload, public WebP URL and authenticated foreign-Origin rejection</x:v>
      </x:c>
      <x:c r="F20" s="141" t="str">
        <x:v>Partial pass: valid image end to end, foreign-origin 403; size/count boundaries remain open</x:v>
      </x:c>
      <x:c r="G20" s="141" t="str">
        <x:v>Representative image fixtures</x:v>
      </x:c>
      <x:c r="H20" s="141" t="str">
        <x:v>Valid stored; invalid rejected; limits enforced</x:v>
      </x:c>
    </x:row>
    <x:row r="21">
      <x:c r="A21" s="88" t="str">
        <x:v>T-017</x:v>
      </x:c>
      <x:c r="B21" s="88" t="str">
        <x:v>Media</x:v>
      </x:c>
      <x:c r="C21" s="141" t="str">
        <x:v>MIME spoof/malicious file rejection</x:v>
      </x:c>
      <x:c r="D21" s="141" t="str">
        <x:v>Security</x:v>
      </x:c>
      <x:c r="E21" s="141" t="str">
        <x:v>Manual only</x:v>
      </x:c>
      <x:c r="F21" s="141" t="str">
        <x:v>Pending automation</x:v>
      </x:c>
      <x:c r="G21" s="141" t="str">
        <x:v>SVG/executable/polyglot fixtures</x:v>
      </x:c>
      <x:c r="H21" s="141" t="str">
        <x:v>No malicious content stored/served</x:v>
      </x:c>
    </x:row>
    <x:row r="22">
      <x:c r="A22" s="88" t="str">
        <x:v>T-018</x:v>
      </x:c>
      <x:c r="B22" s="88" t="str">
        <x:v>Media</x:v>
      </x:c>
      <x:c r="C22" s="141" t="str">
        <x:v>Cross-user storage key attachment</x:v>
      </x:c>
      <x:c r="D22" s="141" t="str">
        <x:v>Security integration</x:v>
      </x:c>
      <x:c r="E22" s="141" t="str">
        <x:v>Automated checks</x:v>
      </x:c>
      <x:c r="F22" s="141" t="str">
        <x:v>Passed</x:v>
      </x:c>
      <x:c r="G22" s="141" t="str">
        <x:v>Ownership binding implemented</x:v>
      </x:c>
      <x:c r="H22" s="141" t="str">
        <x:v>User B cannot attach User A upload</x:v>
      </x:c>
    </x:row>
    <x:row r="23">
      <x:c r="A23" s="88" t="str">
        <x:v>T-019</x:v>
      </x:c>
      <x:c r="B23" s="88" t="str">
        <x:v>Search</x:v>
      </x:c>
      <x:c r="C23" s="141" t="str">
        <x:v>All car filters and combinations</x:v>
      </x:c>
      <x:c r="D23" s="141" t="str">
        <x:v>DB integration</x:v>
      </x:c>
      <x:c r="E23" s="141" t="str">
        <x:v>SEO only partial</x:v>
      </x:c>
      <x:c r="F23" s="141" t="str">
        <x:v>Pending automation</x:v>
      </x:c>
      <x:c r="G23" s="141" t="str">
        <x:v>Seeded deterministic listings</x:v>
      </x:c>
      <x:c r="H23" s="141" t="str">
        <x:v>Exact result IDs/counts and canonical decisions</x:v>
      </x:c>
    </x:row>
    <x:row r="24">
      <x:c r="A24" s="88" t="str">
        <x:v>T-020</x:v>
      </x:c>
      <x:c r="B24" s="88" t="str">
        <x:v>Search</x:v>
      </x:c>
      <x:c r="C24" s="141" t="str">
        <x:v>All bike filters and combinations</x:v>
      </x:c>
      <x:c r="D24" s="141" t="str">
        <x:v>DB integration</x:v>
      </x:c>
      <x:c r="E24" s="141" t="str">
        <x:v>SEO only partial</x:v>
      </x:c>
      <x:c r="F24" s="141" t="str">
        <x:v>Pending automation</x:v>
      </x:c>
      <x:c r="G24" s="141" t="str">
        <x:v>Seeded bike listings</x:v>
      </x:c>
      <x:c r="H24" s="141" t="str">
        <x:v>Exact result IDs/counts</x:v>
      </x:c>
    </x:row>
    <x:row r="25">
      <x:c r="A25" s="88" t="str">
        <x:v>T-021</x:v>
      </x:c>
      <x:c r="B25" s="88" t="str">
        <x:v>Search</x:v>
      </x:c>
      <x:c r="C25" s="141" t="str">
        <x:v>Parts category and condition filters</x:v>
      </x:c>
      <x:c r="D25" s="141" t="str">
        <x:v>DB integration</x:v>
      </x:c>
      <x:c r="E25" s="141" t="str">
        <x:v>DB integration checks</x:v>
      </x:c>
      <x:c r="F25" s="141" t="str">
        <x:v>Passed</x:v>
      </x:c>
      <x:c r="G25" s="141" t="str">
        <x:v>Parts in multiple categories/conditions</x:v>
      </x:c>
      <x:c r="H25" s="141" t="str">
        <x:v>Only matching parts returned</x:v>
      </x:c>
    </x:row>
    <x:row r="26">
      <x:c r="A26" s="88" t="str">
        <x:v>T-022</x:v>
      </x:c>
      <x:c r="B26" s="88" t="str">
        <x:v>Search</x:v>
      </x:c>
      <x:c r="C26" s="141" t="str">
        <x:v>Sorting and stable pagination</x:v>
      </x:c>
      <x:c r="D26" s="141" t="str">
        <x:v>DB integration</x:v>
      </x:c>
      <x:c r="E26" s="141" t="str">
        <x:v>Route sweep partial</x:v>
      </x:c>
      <x:c r="F26" s="141" t="str">
        <x:v>Pending automation</x:v>
      </x:c>
      <x:c r="G26" s="141" t="str">
        <x:v>More than 50 deterministic rows</x:v>
      </x:c>
      <x:c r="H26" s="141" t="str">
        <x:v>No duplicates/missing rows; correct order</x:v>
      </x:c>
    </x:row>
    <x:row r="27">
      <x:c r="A27" s="88" t="str">
        <x:v>T-023</x:v>
      </x:c>
      <x:c r="B27" s="88" t="str">
        <x:v>Search</x:v>
      </x:c>
      <x:c r="C27" s="141" t="str">
        <x:v>Unknown/reordered facet URLs</x:v>
      </x:c>
      <x:c r="D27" s="141" t="str">
        <x:v>SEO unit + E2E</x:v>
      </x:c>
      <x:c r="E27" s="141" t="str">
        <x:v>SEO checks plus Playwright unknown facet 404</x:v>
      </x:c>
      <x:c r="F27" s="141" t="str">
        <x:v>Partial pass: unknown 404; reordered URL browser check pending</x:v>
      </x:c>
      <x:c r="G27" s="141" t="str">
        <x:v>Facet cases</x:v>
      </x:c>
      <x:c r="H27" s="141" t="str">
        <x:v>Unknown 404; reordered canonical redirect</x:v>
      </x:c>
    </x:row>
    <x:row r="28">
      <x:c r="A28" s="88" t="str">
        <x:v>T-024</x:v>
      </x:c>
      <x:c r="B28" s="88" t="str">
        <x:v>Detail</x:v>
      </x:c>
      <x:c r="C28" s="141" t="str">
        <x:v>Cars/bikes/parts detail rendering</x:v>
      </x:c>
      <x:c r="D28" s="141" t="str">
        <x:v>E2E</x:v>
      </x:c>
      <x:c r="E28" s="141" t="str">
        <x:v>Route sweep partial</x:v>
      </x:c>
      <x:c r="F28" s="141" t="str">
        <x:v>Pending deep checks</x:v>
      </x:c>
      <x:c r="G28" s="141" t="str">
        <x:v>Representative listing each vertical</x:v>
      </x:c>
      <x:c r="H28" s="141" t="str">
        <x:v>Correct content, metadata, images and specs</x:v>
      </x:c>
    </x:row>
    <x:row r="29">
      <x:c r="A29" s="88" t="str">
        <x:v>T-025</x:v>
      </x:c>
      <x:c r="B29" s="88" t="str">
        <x:v>Contact</x:v>
      </x:c>
      <x:c r="C29" s="141" t="str">
        <x:v>Phone reveal active/inactive</x:v>
      </x:c>
      <x:c r="D29" s="141" t="str">
        <x:v>Integration + E2E</x:v>
      </x:c>
      <x:c r="E29" s="141" t="str">
        <x:v>Desktop/mobile buyer reveal plus database lead count</x:v>
      </x:c>
      <x:c r="F29" s="141" t="str">
        <x:v>Passed active phone reveal and lead log; inactive rejection remains open</x:v>
      </x:c>
      <x:c r="G29" s="141" t="str">
        <x:v>Active and inactive listings</x:v>
      </x:c>
      <x:c r="H29" s="141" t="str">
        <x:v>Active reveals/logs; inactive rejects</x:v>
      </x:c>
    </x:row>
    <x:row r="30">
      <x:c r="A30" s="88" t="str">
        <x:v>T-026</x:v>
      </x:c>
      <x:c r="B30" s="88" t="str">
        <x:v>Contact</x:v>
      </x:c>
      <x:c r="C30" s="141" t="str">
        <x:v>WhatsApp action and lead logging</x:v>
      </x:c>
      <x:c r="D30" s="141" t="str">
        <x:v>E2E + Integration</x:v>
      </x:c>
      <x:c r="E30" s="141" t="str">
        <x:v>Not available</x:v>
      </x:c>
      <x:c r="F30" s="141" t="str">
        <x:v>Blocked by feature</x:v>
      </x:c>
      <x:c r="G30" s="141" t="str">
        <x:v>WhatsApp UI complete</x:v>
      </x:c>
      <x:c r="H30" s="141" t="str">
        <x:v>Correct wa.me link and event</x:v>
      </x:c>
    </x:row>
    <x:row r="31">
      <x:c r="A31" s="88" t="str">
        <x:v>T-027</x:v>
      </x:c>
      <x:c r="B31" s="88" t="str">
        <x:v>Buyer</x:v>
      </x:c>
      <x:c r="C31" s="141" t="str">
        <x:v>Favourite add/remove/ownership</x:v>
      </x:c>
      <x:c r="D31" s="141" t="str">
        <x:v>Integration + E2E</x:v>
      </x:c>
      <x:c r="E31" s="141" t="str">
        <x:v>Automated checks</x:v>
      </x:c>
      <x:c r="F31" s="141" t="str">
        <x:v>Passed; final browser QA deferred</x:v>
      </x:c>
      <x:c r="G31" s="141" t="str">
        <x:v>Favourites complete</x:v>
      </x:c>
      <x:c r="H31" s="141" t="str">
        <x:v>Idempotent owner-specific state</x:v>
      </x:c>
    </x:row>
    <x:row r="32">
      <x:c r="A32" s="88" t="str">
        <x:v>T-028</x:v>
      </x:c>
      <x:c r="B32" s="88" t="str">
        <x:v>Buyer</x:v>
      </x:c>
      <x:c r="C32" s="141" t="str">
        <x:v>Recent views anonymous/account/stale</x:v>
      </x:c>
      <x:c r="D32" s="141" t="str">
        <x:v>E2E</x:v>
      </x:c>
      <x:c r="E32" s="141" t="str">
        <x:v>Automated checks</x:v>
      </x:c>
      <x:c r="F32" s="141" t="str">
        <x:v>Passed; final browser QA deferred</x:v>
      </x:c>
      <x:c r="G32" s="141" t="str">
        <x:v>Recent-view feature complete</x:v>
      </x:c>
      <x:c r="H32" s="141" t="str">
        <x:v>Correct ordering, merge and privacy</x:v>
      </x:c>
    </x:row>
    <x:row r="33">
      <x:c r="A33" s="88" t="str">
        <x:v>T-029</x:v>
      </x:c>
      <x:c r="B33" s="88" t="str">
        <x:v>Buyer</x:v>
      </x:c>
      <x:c r="C33" s="141" t="str">
        <x:v>Comparison compatibility and limit</x:v>
      </x:c>
      <x:c r="D33" s="141" t="str">
        <x:v>Unit + E2E</x:v>
      </x:c>
      <x:c r="E33" s="141" t="str">
        <x:v>Automated checks</x:v>
      </x:c>
      <x:c r="F33" s="141" t="str">
        <x:v>Passed; final responsive QA deferred</x:v>
      </x:c>
      <x:c r="G33" s="141" t="str">
        <x:v>Compare complete</x:v>
      </x:c>
      <x:c r="H33" s="141" t="str">
        <x:v>Only 2-3 compatible valid listings</x:v>
      </x:c>
    </x:row>
    <x:row r="34">
      <x:c r="A34" s="88" t="str">
        <x:v>T-030</x:v>
      </x:c>
      <x:c r="B34" s="88" t="str">
        <x:v>Buyer</x:v>
      </x:c>
      <x:c r="C34" s="141" t="str">
        <x:v>Saved search replay and alert matching</x:v>
      </x:c>
      <x:c r="D34" s="141" t="str">
        <x:v>Integration</x:v>
      </x:c>
      <x:c r="E34" s="141" t="str">
        <x:v>Automated checks</x:v>
      </x:c>
      <x:c r="F34" s="141" t="str">
        <x:v>Feature passed; delivery provider configuration pending</x:v>
      </x:c>
      <x:c r="G34" s="141" t="str">
        <x:v>Saved search/alerts complete</x:v>
      </x:c>
      <x:c r="H34" s="141" t="str">
        <x:v>Exact filters, no duplicate alerts</x:v>
      </x:c>
    </x:row>
    <x:row r="35">
      <x:c r="A35" s="88" t="str">
        <x:v>T-031</x:v>
      </x:c>
      <x:c r="B35" s="88" t="str">
        <x:v>Dealer</x:v>
      </x:c>
      <x:c r="C35" s="141" t="str">
        <x:v>Register dealer and unique slug</x:v>
      </x:c>
      <x:c r="D35" s="141" t="str">
        <x:v>Integration + E2E</x:v>
      </x:c>
      <x:c r="E35" s="141" t="str">
        <x:v>Playwright desktop/mobile dealer registration</x:v>
      </x:c>
      <x:c r="F35" s="141" t="str">
        <x:v>Partial pass: new dealer dashboard and pending badge; duplicate slug case pending</x:v>
      </x:c>
      <x:c r="G35" s="141" t="str">
        <x:v>Authenticated individual</x:v>
      </x:c>
      <x:c r="H35" s="141" t="str">
        <x:v>Dealer/user type created exactly once</x:v>
      </x:c>
    </x:row>
    <x:row r="36">
      <x:c r="A36" s="88" t="str">
        <x:v>T-032</x:v>
      </x:c>
      <x:c r="B36" s="88" t="str">
        <x:v>Dealer</x:v>
      </x:c>
      <x:c r="C36" s="141" t="str">
        <x:v>Storefront visibility and counts</x:v>
      </x:c>
      <x:c r="D36" s="141" t="str">
        <x:v>DB integration + E2E</x:v>
      </x:c>
      <x:c r="E36" s="141" t="str">
        <x:v>Route sweep partial</x:v>
      </x:c>
      <x:c r="F36" s="141" t="str">
        <x:v>Pending automation</x:v>
      </x:c>
      <x:c r="G36" s="141" t="str">
        <x:v>Mixed dealer listing states</x:v>
      </x:c>
      <x:c r="H36" s="141" t="str">
        <x:v>Only active inventory and accurate counts</x:v>
      </x:c>
    </x:row>
    <x:row r="37">
      <x:c r="A37" s="88" t="str">
        <x:v>T-033</x:v>
      </x:c>
      <x:c r="B37" s="88" t="str">
        <x:v>Dealer</x:v>
      </x:c>
      <x:c r="C37" s="141" t="str">
        <x:v>Verification grant/revoke and badges</x:v>
      </x:c>
      <x:c r="D37" s="141" t="str">
        <x:v>Security + E2E</x:v>
      </x:c>
      <x:c r="E37" s="141" t="str">
        <x:v>Automated checks plus desktop/mobile Chromium admin verify/revoke, public badge and DB audit assertions</x:v>
      </x:c>
      <x:c r="F37" s="141" t="str">
        <x:v>Passed: grant/revoke changes verified_at and public badge; both decisions append audit events</x:v>
      </x:c>
      <x:c r="G37" s="141" t="str">
        <x:v>Verification admin complete</x:v>
      </x:c>
      <x:c r="H37" s="141" t="str">
        <x:v>Only admin changes status; all badges sync</x:v>
      </x:c>
    </x:row>
    <x:row r="38">
      <x:c r="A38" s="88" t="str">
        <x:v>T-034</x:v>
      </x:c>
      <x:c r="B38" s="88" t="str">
        <x:v>Inspection</x:v>
      </x:c>
      <x:c r="C38" s="141" t="str">
        <x:v>Submit request with/without listing</x:v>
      </x:c>
      <x:c r="D38" s="141" t="str">
        <x:v>Integration + E2E</x:v>
      </x:c>
      <x:c r="E38" s="141" t="str">
        <x:v>Desktop/mobile Chromium request without listing, normalized phone, DB reference and initial event</x:v>
      </x:c>
      <x:c r="F38" s="141" t="str">
        <x:v>Partial pass: no-listing request persists; linked listing and invalid reference still open</x:v>
      </x:c>
      <x:c r="G38" s="141" t="str">
        <x:v>Signed-in user and cities</x:v>
      </x:c>
      <x:c r="H38" s="141" t="str">
        <x:v>Request/reference stored correctly</x:v>
      </x:c>
    </x:row>
    <x:row r="39">
      <x:c r="A39" s="88" t="str">
        <x:v>T-035</x:v>
      </x:c>
      <x:c r="B39" s="88" t="str">
        <x:v>Inspection</x:v>
      </x:c>
      <x:c r="C39" s="141" t="str">
        <x:v>Admin updates request lifecycle</x:v>
      </x:c>
      <x:c r="D39" s="141" t="str">
        <x:v>Security + E2E</x:v>
      </x:c>
      <x:c r="E39" s="141" t="str">
        <x:v>Desktop/mobile Chromium admin status update, append-only event, customer visibility and private-note exclusion</x:v>
      </x:c>
      <x:c r="F39" s="141" t="str">
        <x:v>Partial pass: requested to contacted lifecycle and privacy verified; invalid transitions still open</x:v>
      </x:c>
      <x:c r="G39" s="141" t="str">
        <x:v>Inspection admin complete</x:v>
      </x:c>
      <x:c r="H39" s="141" t="str">
        <x:v>Only admin updates valid transitions</x:v>
      </x:c>
    </x:row>
    <x:row r="40">
      <x:c r="A40" s="88" t="str">
        <x:v>T-036</x:v>
      </x:c>
      <x:c r="B40" s="88" t="str">
        <x:v>Sell Assistance</x:v>
      </x:c>
      <x:c r="C40" s="141" t="str">
        <x:v>Submit/manage Sell My Car request</x:v>
      </x:c>
      <x:c r="D40" s="141" t="str">
        <x:v>Integration + E2E</x:v>
      </x:c>
      <x:c r="E40" s="141" t="str">
        <x:v>Desktop/mobile Chromium structured request, DB fields, admin update, append-only event and customer privacy</x:v>
      </x:c>
      <x:c r="F40" s="141" t="str">
        <x:v>Partial pass: request/manage and customer history verified; negative cases still open</x:v>
      </x:c>
      <x:c r="G40" s="141" t="str">
        <x:v>Public/admin flows complete</x:v>
      </x:c>
      <x:c r="H40" s="141" t="str">
        <x:v>Valid request and auditable follow-up</x:v>
      </x:c>
    </x:row>
    <x:row r="41">
      <x:c r="A41" s="88" t="str">
        <x:v>T-037</x:v>
      </x:c>
      <x:c r="B41" s="88" t="str">
        <x:v>Reporting</x:v>
      </x:c>
      <x:c r="C41" s="141" t="str">
        <x:v>Anonymous/auth duplicate report protection</x:v>
      </x:c>
      <x:c r="D41" s="141" t="str">
        <x:v>Integration + Security</x:v>
      </x:c>
      <x:c r="E41" s="141" t="str">
        <x:v>Desktop/mobile Chromium anonymous report and same-cookie duplicate with isolated DB assertion</x:v>
      </x:c>
      <x:c r="F41" s="141" t="str">
        <x:v>Partial pass: anonymous duplicate suppressed; authenticated and invalid-direct-input paths remain open</x:v>
      </x:c>
      <x:c r="G41" s="141" t="str">
        <x:v>Same listing/user/cookie</x:v>
      </x:c>
      <x:c r="H41" s="141" t="str">
        <x:v>At most one report per identity</x:v>
      </x:c>
    </x:row>
    <x:row r="42">
      <x:c r="A42" s="88" t="str">
        <x:v>T-038</x:v>
      </x:c>
      <x:c r="B42" s="88" t="str">
        <x:v>Reporting</x:v>
      </x:c>
      <x:c r="C42" s="141" t="str">
        <x:v>Five-report auto-hide concurrency</x:v>
      </x:c>
      <x:c r="D42" s="141" t="str">
        <x:v>Integration</x:v>
      </x:c>
      <x:c r="E42" s="141" t="str">
        <x:v>Desktop/mobile Chromium sequential reports 1-5 and simultaneous fifth/sixth, public visibility, auto-queue, confirmation and admin resolution</x:v>
      </x:c>
      <x:c r="F42" s="141" t="str">
        <x:v>Passed: four remain public; fifth holds ad; concurrent fifth/sixth yield five open reports and one new queue event</x:v>
      </x:c>
      <x:c r="G42" s="141" t="str">
        <x:v>Four then concurrent fifth/sixth</x:v>
      </x:c>
      <x:c r="H42" s="141" t="str">
        <x:v>Single safe transition and audit entry</x:v>
      </x:c>
    </x:row>
    <x:row r="43">
      <x:c r="A43" s="88" t="str">
        <x:v>T-039</x:v>
      </x:c>
      <x:c r="B43" s="88" t="str">
        <x:v>Moderation</x:v>
      </x:c>
      <x:c r="C43" s="141" t="str">
        <x:v>Admin approve/remove and non-admin denial</x:v>
      </x:c>
      <x:c r="D43" s="141" t="str">
        <x:v>Security + E2E</x:v>
      </x:c>
      <x:c r="E43" s="141" t="str">
        <x:v>Desktop/mobile Chromium admin approve, hide, reinstate and permanent removal; DB audit and public visibility</x:v>
      </x:c>
      <x:c r="F43" s="141" t="str">
        <x:v>Partial pass: moderation status/audit/visibility verified; reports and direct non-admin denial remain open</x:v>
      </x:c>
      <x:c r="G43" s="141" t="str">
        <x:v>Reported/flagged listings</x:v>
      </x:c>
      <x:c r="H43" s="141" t="str">
        <x:v>Correct statuses, report resolution and audit</x:v>
      </x:c>
    </x:row>
    <x:row r="44">
      <x:c r="A44" s="88" t="str">
        <x:v>T-040</x:v>
      </x:c>
      <x:c r="B44" s="88" t="str">
        <x:v>Admin</x:v>
      </x:c>
      <x:c r="C44" s="141" t="str">
        <x:v>Ban/unban and active session enforcement</x:v>
      </x:c>
      <x:c r="D44" s="141" t="str">
        <x:v>Security + E2E</x:v>
      </x:c>
      <x:c r="E44" s="141" t="str">
        <x:v>Desktop/mobile Chromium ban, session revocation, unban, audit history and restored login</x:v>
      </x:c>
      <x:c r="F44" s="141" t="str">
        <x:v>Passed browser lifecycle and DB enforcement; retain direct-action authorization in security regression</x:v>
      </x:c>
      <x:c r="G44" s="141" t="str">
        <x:v>User admin complete</x:v>
      </x:c>
      <x:c r="H44" s="141" t="str">
        <x:v>Only admin acts; banned session rejected</x:v>
      </x:c>
    </x:row>
    <x:row r="45">
      <x:c r="A45" s="88" t="str">
        <x:v>T-041</x:v>
      </x:c>
      <x:c r="B45" s="88" t="str">
        <x:v>Homepage</x:v>
      </x:c>
      <x:c r="C45" s="141" t="str">
        <x:v>Desktop/tablet/mobile visual acceptance</x:v>
      </x:c>
      <x:c r="D45" s="141" t="str">
        <x:v>Visual regression</x:v>
      </x:c>
      <x:c r="E45" s="141" t="str">
        <x:v>Owner visual review plus Playwright mobile width check</x:v>
      </x:c>
      <x:c r="F45" s="141" t="str">
        <x:v>Partial pass: approved homepage; mobile width passes; Safari/cross-route QA pending</x:v>
      </x:c>
      <x:c r="G45" s="141" t="str">
        <x:v>PR #2 local preview</x:v>
      </x:c>
      <x:c r="H45" s="141" t="str">
        <x:v>No overflow/clipping; approved layout</x:v>
      </x:c>
    </x:row>
    <x:row r="46">
      <x:c r="A46" s="88" t="str">
        <x:v>T-042</x:v>
      </x:c>
      <x:c r="B46" s="88" t="str">
        <x:v>Homepage</x:v>
      </x:c>
      <x:c r="C46" s="141" t="str">
        <x:v>Search tabs and filters</x:v>
      </x:c>
      <x:c r="D46" s="141" t="str">
        <x:v>E2E</x:v>
      </x:c>
      <x:c r="E46" s="141" t="str">
        <x:v>Playwright desktop/mobile homepage search tabs</x:v>
      </x:c>
      <x:c r="F46" s="141" t="str">
        <x:v>Passed: car/bike/parts navigation; deeper filter combinations pending</x:v>
      </x:c>
      <x:c r="G46" s="141" t="str">
        <x:v>Seeded taxonomy</x:v>
      </x:c>
      <x:c r="H46" s="141" t="str">
        <x:v>Correct canonical results URL per category</x:v>
      </x:c>
    </x:row>
    <x:row r="47">
      <x:c r="A47" s="88" t="str">
        <x:v>T-043</x:v>
      </x:c>
      <x:c r="B47" s="88" t="str">
        <x:v>Accessibility</x:v>
      </x:c>
      <x:c r="C47" s="141" t="str">
        <x:v>Keyboard, focus, labels, contrast and zoom</x:v>
      </x:c>
      <x:c r="D47" s="141" t="str">
        <x:v>Automated + Manual</x:v>
      </x:c>
      <x:c r="E47" s="141" t="str">
        <x:v>Deferred</x:v>
      </x:c>
      <x:c r="F47" s="141" t="str">
        <x:v>Final accessibility QA</x:v>
      </x:c>
      <x:c r="G47" s="141" t="str">
        <x:v>Feature-complete UI</x:v>
      </x:c>
      <x:c r="H47" s="141" t="str">
        <x:v>No critical WCAG-oriented failure</x:v>
      </x:c>
    </x:row>
    <x:row r="48">
      <x:c r="A48" s="88" t="str">
        <x:v>T-044</x:v>
      </x:c>
      <x:c r="B48" s="88" t="str">
        <x:v>SEO</x:v>
      </x:c>
      <x:c r="C48" s="141" t="str">
        <x:v>Canonical/indexation/title policy</x:v>
      </x:c>
      <x:c r="D48" s="141" t="str">
        <x:v>Unit</x:v>
      </x:c>
      <x:c r="E48" s="141" t="str">
        <x:v>Automated</x:v>
      </x:c>
      <x:c r="F48" s="141" t="str">
        <x:v>Passed in full project check</x:v>
      </x:c>
      <x:c r="G48" s="141" t="str">
        <x:v>No DB needed</x:v>
      </x:c>
      <x:c r="H48" s="141" t="str">
        <x:v>All assertions pass</x:v>
      </x:c>
    </x:row>
    <x:row r="49">
      <x:c r="A49" s="88" t="str">
        <x:v>T-045</x:v>
      </x:c>
      <x:c r="B49" s="88" t="str">
        <x:v>SEO</x:v>
      </x:c>
      <x:c r="C49" s="141" t="str">
        <x:v>Structured data validation</x:v>
      </x:c>
      <x:c r="D49" s="141" t="str">
        <x:v>Manual + automated schema</x:v>
      </x:c>
      <x:c r="E49" s="141" t="str">
        <x:v>Not run</x:v>
      </x:c>
      <x:c r="F49" s="141" t="str">
        <x:v>Pending</x:v>
      </x:c>
      <x:c r="G49" s="141" t="str">
        <x:v>Deployed staging URL</x:v>
      </x:c>
      <x:c r="H49" s="141" t="str">
        <x:v>No critical schema errors</x:v>
      </x:c>
    </x:row>
    <x:row r="50">
      <x:c r="A50" s="88" t="str">
        <x:v>T-046</x:v>
      </x:c>
      <x:c r="B50" s="88" t="str">
        <x:v>SEO</x:v>
      </x:c>
      <x:c r="C50" s="141" t="str">
        <x:v>Sitemap/robots by environment</x:v>
      </x:c>
      <x:c r="D50" s="141" t="str">
        <x:v>Integration</x:v>
      </x:c>
      <x:c r="E50" s="141" t="str">
        <x:v>Route sweep partial</x:v>
      </x:c>
      <x:c r="F50" s="141" t="str">
        <x:v>Pending deployment</x:v>
      </x:c>
      <x:c r="G50" s="141" t="str">
        <x:v>Staging and production env</x:v>
      </x:c>
      <x:c r="H50" s="141" t="str">
        <x:v>Staging blocked; production canonical URLs only</x:v>
      </x:c>
    </x:row>
    <x:row r="51">
      <x:c r="A51" s="88" t="str">
        <x:v>T-047</x:v>
      </x:c>
      <x:c r="B51" s="88" t="str">
        <x:v>Security</x:v>
      </x:c>
      <x:c r="C51" s="141" t="str">
        <x:v>Rate-limit abuse suite</x:v>
      </x:c>
      <x:c r="D51" s="141" t="str">
        <x:v>Security/load</x:v>
      </x:c>
      <x:c r="E51" s="141" t="str">
        <x:v>Not available</x:v>
      </x:c>
      <x:c r="F51" s="141" t="str">
        <x:v>Blocked by feature</x:v>
      </x:c>
      <x:c r="G51" s="141" t="str">
        <x:v>Rate limits complete</x:v>
      </x:c>
      <x:c r="H51" s="141" t="str">
        <x:v>Limits trigger predictably and recover</x:v>
      </x:c>
    </x:row>
    <x:row r="52">
      <x:c r="A52" s="88" t="str">
        <x:v>T-048</x:v>
      </x:c>
      <x:c r="B52" s="88" t="str">
        <x:v>Security</x:v>
      </x:c>
      <x:c r="C52" s="141" t="str">
        <x:v>OWASP/IDOR/upload/CSP assessment</x:v>
      </x:c>
      <x:c r="D52" s="141" t="str">
        <x:v>Security review</x:v>
      </x:c>
      <x:c r="E52" s="141" t="str">
        <x:v>Not run</x:v>
      </x:c>
      <x:c r="F52" s="141" t="str">
        <x:v>Pre-launch</x:v>
      </x:c>
      <x:c r="G52" s="141" t="str">
        <x:v>Feature-complete staging</x:v>
      </x:c>
      <x:c r="H52" s="141" t="str">
        <x:v>No unresolved critical/high findings</x:v>
      </x:c>
    </x:row>
    <x:row r="53">
      <x:c r="A53" s="88" t="str">
        <x:v>T-049</x:v>
      </x:c>
      <x:c r="B53" s="88" t="str">
        <x:v>Performance</x:v>
      </x:c>
      <x:c r="C53" s="141" t="str">
        <x:v>20k listings query plan</x:v>
      </x:c>
      <x:c r="D53" s="141" t="str">
        <x:v>Database performance</x:v>
      </x:c>
      <x:c r="E53" s="141" t="str">
        <x:v>Not run</x:v>
      </x:c>
      <x:c r="F53" s="141" t="str">
        <x:v>Pre-launch</x:v>
      </x:c>
      <x:c r="G53" s="141" t="str">
        <x:v>Production-like DB</x:v>
      </x:c>
      <x:c r="H53" s="141" t="str">
        <x:v>Index usage and acceptable P95</x:v>
      </x:c>
    </x:row>
    <x:row r="54">
      <x:c r="A54" s="88" t="str">
        <x:v>T-050</x:v>
      </x:c>
      <x:c r="B54" s="88" t="str">
        <x:v>Performance</x:v>
      </x:c>
      <x:c r="C54" s="141" t="str">
        <x:v>500 concurrent user ramp/soak</x:v>
      </x:c>
      <x:c r="D54" s="141" t="str">
        <x:v>Load</x:v>
      </x:c>
      <x:c r="E54" s="141" t="str">
        <x:v>Not run</x:v>
      </x:c>
      <x:c r="F54" s="141" t="str">
        <x:v>Pre-launch</x:v>
      </x:c>
      <x:c r="G54" s="141" t="str">
        <x:v>Production-like staging</x:v>
      </x:c>
      <x:c r="H54" s="141" t="str">
        <x:v>Error/latency/DB pool stay within target</x:v>
      </x:c>
    </x:row>
    <x:row r="55">
      <x:c r="A55" s="88" t="str">
        <x:v>T-051</x:v>
      </x:c>
      <x:c r="B55" s="88" t="str">
        <x:v>Operations</x:v>
      </x:c>
      <x:c r="C55" s="141" t="str">
        <x:v>Clean migration and seed</x:v>
      </x:c>
      <x:c r="D55" s="141" t="str">
        <x:v>Deployment integration</x:v>
      </x:c>
      <x:c r="E55" s="141" t="str">
        <x:v>GitHub CI plus local clean isolated DB</x:v>
      </x:c>
      <x:c r="F55" s="141" t="str">
        <x:v>Passed local and CI #36631593477: migrations, curated/demo seed, DB assertions</x:v>
      </x:c>
      <x:c r="G55" s="141" t="str">
        <x:v>Fresh PostgreSQL</x:v>
      </x:c>
      <x:c r="H55" s="141" t="str">
        <x:v>Schema/seed complete without errors</x:v>
      </x:c>
    </x:row>
    <x:row r="56">
      <x:c r="A56" s="88" t="str">
        <x:v>T-052</x:v>
      </x:c>
      <x:c r="B56" s="88" t="str">
        <x:v>Operations</x:v>
      </x:c>
      <x:c r="C56" s="141" t="str">
        <x:v>Backup restoration drill</x:v>
      </x:c>
      <x:c r="D56" s="141" t="str">
        <x:v>Operational</x:v>
      </x:c>
      <x:c r="E56" s="141" t="str">
        <x:v>Not run</x:v>
      </x:c>
      <x:c r="F56" s="141" t="str">
        <x:v>Pre-launch</x:v>
      </x:c>
      <x:c r="G56" s="141" t="str">
        <x:v>Production-like backup</x:v>
      </x:c>
      <x:c r="H56" s="141" t="str">
        <x:v>Restored system passes smoke tests</x:v>
      </x:c>
    </x:row>
    <x:row r="57">
      <x:c r="A57" s="88" t="str">
        <x:v>T-053</x:v>
      </x:c>
      <x:c r="B57" s="88" t="str">
        <x:v>Operations</x:v>
      </x:c>
      <x:c r="C57" s="141" t="str">
        <x:v>Cron authentication and monitoring</x:v>
      </x:c>
      <x:c r="D57" s="141" t="str">
        <x:v>Integration/Operational</x:v>
      </x:c>
      <x:c r="E57" s="141" t="str">
        <x:v>Manual partial</x:v>
      </x:c>
      <x:c r="F57" s="141" t="str">
        <x:v>Pending scheduler</x:v>
      </x:c>
      <x:c r="G57" s="141" t="str">
        <x:v>Configured CRON_SECRET</x:v>
      </x:c>
      <x:c r="H57" s="141" t="str">
        <x:v>Authorized jobs run; failures alert</x:v>
      </x:c>
    </x:row>
    <x:row r="58">
      <x:c r="A58" s="88" t="str">
        <x:v>T-054</x:v>
      </x:c>
      <x:c r="B58" s="88" t="str">
        <x:v>Operations</x:v>
      </x:c>
      <x:c r="C58" s="141" t="str">
        <x:v>Production smoke and rollback</x:v>
      </x:c>
      <x:c r="D58" s="141" t="str">
        <x:v>E2E/Operational</x:v>
      </x:c>
      <x:c r="E58" s="141" t="str">
        <x:v>Not run</x:v>
      </x:c>
      <x:c r="F58" s="141" t="str">
        <x:v>Launch gate</x:v>
      </x:c>
      <x:c r="G58" s="141" t="str">
        <x:v>Production deployment</x:v>
      </x:c>
      <x:c r="H58" s="141" t="str">
        <x:v>Critical journeys pass or rollback executes</x:v>
      </x:c>
    </x:row>
    <x:row r="59">
      <x:c r="A59" t="str">
        <x:v>T-055</x:v>
      </x:c>
      <x:c r="B59" t="str">
        <x:v>Authentication</x:v>
      </x:c>
      <x:c r="C59" t="str">
        <x:v>Google OAuth local signup and schema drift repair</x:v>
      </x:c>
      <x:c r="D59" t="str">
        <x:v>DB integration + targeted E2E</x:v>
      </x:c>
      <x:c r="E59" t="str">
        <x:v>Automated + manual</x:v>
      </x:c>
      <x:c r="F59" t="str">
        <x:v>Passed 8 Sep 2026</x:v>
      </x:c>
      <x:c r="G59" t="str">
        <x:v>Configured local Google provider and PostgreSQL</x:v>
      </x:c>
      <x:c r="H59" t="str">
        <x:v>Callback succeeds; repair is idempotent and users.updated_at is present</x:v>
      </x:c>
    </x:row>
    <x:row r="60">
      <x:c r="A60" t="str">
        <x:v>T-056</x:v>
      </x:c>
      <x:c r="B60" t="str">
        <x:v>Content &amp; Legal</x:v>
      </x:c>
      <x:c r="C60" t="str">
        <x:v>Legal/content routes, metadata and footer navigation</x:v>
      </x:c>
      <x:c r="D60" t="str">
        <x:v>Static + HTTP smoke</x:v>
      </x:c>
      <x:c r="E60" t="str">
        <x:v>Automated + targeted manual</x:v>
      </x:c>
      <x:c r="F60" t="str">
        <x:v>Passed 8 Sep 2026</x:v>
      </x:c>
      <x:c r="G60" t="str">
        <x:v>Stage 6.1 implementation</x:v>
      </x:c>
      <x:c r="H60" t="str">
        <x:v>Six routes return 200, expose page headings/titles and are linked from the footer</x:v>
      </x:c>
    </x:row>
    <x:row r="61">
      <x:c r="A61" t="str">
        <x:v>T-057</x:v>
      </x:c>
      <x:c r="B61" t="str">
        <x:v>Map Location</x:v>
      </x:c>
      <x:c r="C61" t="str">
        <x:v>Google Maps create/edit/public approximate-location acceptance</x:v>
      </x:c>
      <x:c r="D61" t="str">
        <x:v>DB + privacy + E2E</x:v>
      </x:c>
      <x:c r="E61" t="str">
        <x:v>Automated partial</x:v>
      </x:c>
      <x:c r="F61" t="str">
        <x:v>Blocked by Google Maps billing</x:v>
      </x:c>
      <x:c r="G61" t="str">
        <x:v>Billing enabled and configured local key</x:v>
      </x:c>
      <x:c r="H61" t="str">
        <x:v>Map loads in all seller forms; exact pin stays private; public map shows only coarse location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22f2e531f2e744c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5" hidden="0" customWidth="1"/>
    <x:col min="4" max="4" width="48" hidden="0" customWidth="1"/>
  </x:cols>
  <x:sheetData>
    <x:row r="1">
      <x:c r="A1" s="138" t="str">
        <x:v>JaniWheels V1 Scope Guardrails</x:v>
      </x:c>
      <x:c r="B1" s="138"/>
      <x:c r="C1" s="138"/>
      <x:c r="D1" s="138"/>
    </x:row>
    <x:row r="2">
      <x:c r="A2" s="139" t="str">
        <x:v>These items must not enter V1 development unless the signed proposal is formally changed.</x:v>
      </x:c>
      <x:c r="B2" s="139"/>
      <x:c r="C2" s="139"/>
      <x:c r="D2" s="139"/>
    </x:row>
    <x:row r="3">
      <x:c r="A3" s="88"/>
      <x:c r="B3" s="88"/>
      <x:c r="C3" s="88"/>
      <x:c r="D3" s="88"/>
    </x:row>
    <x:row r="4">
      <x:c r="A4" s="113" t="str">
        <x:v>Area</x:v>
      </x:c>
      <x:c r="B4" s="113" t="str">
        <x:v>Excluded Functionality</x:v>
      </x:c>
      <x:c r="C4" s="113" t="str">
        <x:v>Status</x:v>
      </x:c>
      <x:c r="D4" s="113" t="str">
        <x:v>Rule</x:v>
      </x:c>
    </x:row>
    <x:row r="5">
      <x:c r="A5" s="88" t="str">
        <x:v>Payments</x:v>
      </x:c>
      <x:c r="B5" s="141" t="str">
        <x:v>JazzCash, Easypaisa, cards, callbacks, billing</x:v>
      </x:c>
      <x:c r="C5" s="141" t="str">
        <x:v>Removed / Do Not Build</x:v>
      </x:c>
      <x:c r="D5" s="141" t="str">
        <x:v>Signed change request required</x:v>
      </x:c>
    </x:row>
    <x:row r="6">
      <x:c r="A6" s="88" t="str">
        <x:v>Paid placement</x:v>
      </x:c>
      <x:c r="B6" s="141" t="str">
        <x:v>Featured ads, promoted listings, bumps</x:v>
      </x:c>
      <x:c r="C6" s="141" t="str">
        <x:v>Removed / Do Not Build</x:v>
      </x:c>
      <x:c r="D6" s="141" t="str">
        <x:v>Use genuine Latest Listings only</x:v>
      </x:c>
    </x:row>
    <x:row r="7">
      <x:c r="A7" s="88" t="str">
        <x:v>Dealer monetization</x:v>
      </x:c>
      <x:c r="B7" s="141" t="str">
        <x:v>Subscriptions, paid plans, billing analytics</x:v>
      </x:c>
      <x:c r="C7" s="141" t="str">
        <x:v>Removed / Do Not Build</x:v>
      </x:c>
      <x:c r="D7" s="141" t="str">
        <x:v>Basic dashboard remains V1</x:v>
      </x:c>
    </x:row>
    <x:row r="8">
      <x:c r="A8" s="88" t="str">
        <x:v>Finance</x:v>
      </x:c>
      <x:c r="B8" s="141" t="str">
        <x:v>Financing calculator, banks, insurance</x:v>
      </x:c>
      <x:c r="C8" s="141" t="str">
        <x:v>Removed / Do Not Build</x:v>
      </x:c>
      <x:c r="D8" s="141" t="str">
        <x:v>Signed change request required</x:v>
      </x:c>
    </x:row>
    <x:row r="9">
      <x:c r="A9" s="88" t="str">
        <x:v>Valuation/AI</x:v>
      </x:c>
      <x:c r="B9" s="141" t="str">
        <x:v>Price prediction and recommendation engines</x:v>
      </x:c>
      <x:c r="C9" s="141" t="str">
        <x:v>Removed / Do Not Build</x:v>
      </x:c>
      <x:c r="D9" s="141" t="str">
        <x:v>Signed change request required</x:v>
      </x:c>
    </x:row>
    <x:row r="10">
      <x:c r="A10" s="88" t="str">
        <x:v>Imports</x:v>
      </x:c>
      <x:c r="B10" s="141" t="str">
        <x:v>CSV/bulk/automatic third-party inventory imports</x:v>
      </x:c>
      <x:c r="C10" s="141" t="str">
        <x:v>Removed / Do Not Build</x:v>
      </x:c>
      <x:c r="D10" s="141" t="str">
        <x:v>Manual approved forms only</x:v>
      </x:c>
    </x:row>
    <x:row r="11">
      <x:c r="A11" s="88" t="str">
        <x:v>Parts e-commerce</x:v>
      </x:c>
      <x:c r="B11" s="141" t="str">
        <x:v>Cart, checkout, shipping, fulfilment, orders, tracking</x:v>
      </x:c>
      <x:c r="C11" s="141" t="str">
        <x:v>Removed / Do Not Build</x:v>
      </x:c>
      <x:c r="D11" s="141" t="str">
        <x:v>Parts remain classified contact only</x:v>
      </x:c>
    </x:row>
    <x:row r="12">
      <x:c r="A12" s="88" t="str">
        <x:v>SMS OTP</x:v>
      </x:c>
      <x:c r="B12" s="141" t="str">
        <x:v>Twilio/SMS login or verification</x:v>
      </x:c>
      <x:c r="C12" s="141" t="str">
        <x:v>Removed / Do Not Build</x:v>
      </x:c>
      <x:c r="D12" s="141" t="str">
        <x:v>Password auth; secure email reset to be designed</x:v>
      </x:c>
    </x:row>
    <x:row r="13">
      <x:c r="A13" s="88" t="str">
        <x:v>Inspection operations</x:v>
      </x:c>
      <x:c r="B13" s="141" t="str">
        <x:v>Packages, payments, inspector apps, scheduling, scoring, PDF reports</x:v>
      </x:c>
      <x:c r="C13" s="141" t="str">
        <x:v>Removed / Do Not Build</x:v>
      </x:c>
      <x:c r="D13" s="141" t="str">
        <x:v>Request and manual follow-up only</x:v>
      </x:c>
    </x:row>
    <x:row r="14">
      <x:c r="A14" s="88" t="str">
        <x:v>Internal chat</x:v>
      </x:c>
      <x:c r="B14" s="141" t="str">
        <x:v>Buyer-seller chat and WhatsApp Business automation</x:v>
      </x:c>
      <x:c r="C14" s="141" t="str">
        <x:v>Not in V1</x:v>
      </x:c>
      <x:c r="D14" s="141" t="str">
        <x:v>Direct phone/approved WhatsApp link only</x:v>
      </x:c>
    </x:row>
    <x:row r="15">
      <x:c r="A15" s="88" t="str">
        <x:v>Enterprise systems</x:v>
      </x:c>
      <x:c r="B15" s="141" t="str">
        <x:v>Advanced CRM, ERP, BI and multilingual functionality</x:v>
      </x:c>
      <x:c r="C15" s="141" t="str">
        <x:v>Not in V1</x:v>
      </x:c>
      <x:c r="D15" s="141" t="str">
        <x:v>Signed change request required</x:v>
      </x:c>
    </x:row>
    <x:row r="16">
      <x:c r="A16" s="88" t="str">
        <x:v>Fake marketplace content</x:v>
      </x:c>
      <x:c r="B16" s="141" t="str">
        <x:v>Fake counts, reviews, testimonials or verified claims</x:v>
      </x:c>
      <x:c r="C16" s="141" t="str">
        <x:v>Prohibited</x:v>
      </x:c>
      <x:c r="D16" s="141" t="str">
        <x:v>Display only accurate database-backed information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1b2a4989fd8d493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>
      <x:c r="A1" s="2" t="str">
        <x:v>Status</x:v>
      </x:c>
      <x:c r="B1" s="2" t="str">
        <x:v>Priority</x:v>
      </x:c>
      <x:c r="C1" s="2" t="str">
        <x:v>Owner</x:v>
      </x:c>
      <x:c r="D1" s="2" t="str">
        <x:v>Stage</x:v>
      </x:c>
    </x:row>
    <x:row r="2">
      <x:c r="A2" t="str">
        <x:v>Completed</x:v>
      </x:c>
      <x:c r="B2" t="str">
        <x:v>Critical</x:v>
      </x:c>
      <x:c r="C2" t="str">
        <x:v>Unassigned</x:v>
      </x:c>
      <x:c r="D2" t="str">
        <x:v>Stage 0</x:v>
      </x:c>
    </x:row>
    <x:row r="3">
      <x:c r="A3" t="str">
        <x:v>Complete on Feature Branch - Awaiting Review</x:v>
      </x:c>
      <x:c r="B3" t="str">
        <x:v>High</x:v>
      </x:c>
      <x:c r="C3" t="str">
        <x:v>UI/UX</x:v>
      </x:c>
      <x:c r="D3" t="str">
        <x:v>Stage 1</x:v>
      </x:c>
    </x:row>
    <x:row r="4">
      <x:c r="A4" t="str">
        <x:v>Partially Implemented</x:v>
      </x:c>
      <x:c r="B4" t="str">
        <x:v>Medium</x:v>
      </x:c>
      <x:c r="C4" t="str">
        <x:v>Frontend</x:v>
      </x:c>
      <x:c r="D4" t="str">
        <x:v>Stage 2</x:v>
      </x:c>
    </x:row>
    <x:row r="5">
      <x:c r="A5" t="str">
        <x:v>Data Layer Only</x:v>
      </x:c>
      <x:c r="B5" t="str">
        <x:v>Low</x:v>
      </x:c>
      <x:c r="C5" t="str">
        <x:v>Backend</x:v>
      </x:c>
      <x:c r="D5" t="str">
        <x:v>Stage 3</x:v>
      </x:c>
    </x:row>
    <x:row r="6">
      <x:c r="A6" t="str">
        <x:v>Requires Correction</x:v>
      </x:c>
      <x:c r="B6" t="str">
        <x:v>Do Not Build</x:v>
      </x:c>
      <x:c r="C6" t="str">
        <x:v>Full Stack</x:v>
      </x:c>
      <x:c r="D6" t="str">
        <x:v>Stage 4</x:v>
      </x:c>
    </x:row>
    <x:row r="7">
      <x:c r="A7" t="str">
        <x:v>Pending</x:v>
      </x:c>
      <x:c r="B7"/>
      <x:c r="C7" t="str">
        <x:v>QA</x:v>
      </x:c>
      <x:c r="D7" t="str">
        <x:v>Stage 5</x:v>
      </x:c>
    </x:row>
    <x:row r="8">
      <x:c r="A8" t="str">
        <x:v>Launch Configuration Pending</x:v>
      </x:c>
      <x:c r="B8"/>
      <x:c r="C8" t="str">
        <x:v>DevOps</x:v>
      </x:c>
      <x:c r="D8" t="str">
        <x:v>Stage 6</x:v>
      </x:c>
    </x:row>
    <x:row r="9">
      <x:c r="A9" t="str">
        <x:v>Out of Scope / Removed</x:v>
      </x:c>
      <x:c r="B9"/>
      <x:c r="C9" t="str">
        <x:v>Admin/Operations</x:v>
      </x:c>
      <x:c r="D9" t="str">
        <x:v>Post-V1</x:v>
      </x:c>
    </x:row>
    <x:row r="10">
      <x:c r="A10"/>
      <x:c r="B10"/>
      <x:c r="C10" t="str">
        <x:v>Content/Legal</x:v>
      </x:c>
      <x:c r="D10" t="str">
        <x:v>Excluded</x:v>
      </x:c>
    </x:row>
  </x:sheetData>
  <x:pageMargins left="0.7" right="0.7" top="0.75" bottom="0.75" header="0.3" footer="0.3"/>
</x:worksheet>
</file>