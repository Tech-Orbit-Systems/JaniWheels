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1d0a2a80554ca7" /></Relationships>
</file>

<file path=xl/workbook.xml><?xml version="1.0" encoding="utf-8"?>
<x:workbook xmlns:x="http://schemas.openxmlformats.org/spreadsheetml/2006/main">
  <x:sheets>
    <x:sheet xmlns:r="http://schemas.openxmlformats.org/officeDocument/2006/relationships" name="Dashboard" sheetId="1" r:id="R76026efacb3346c1"/>
    <x:sheet xmlns:r="http://schemas.openxmlformats.org/officeDocument/2006/relationships" name="Governance &amp; Usage" sheetId="2" r:id="R635bce7103724939"/>
    <x:sheet xmlns:r="http://schemas.openxmlformats.org/officeDocument/2006/relationships" name="Feature Tracker" sheetId="3" r:id="R63ee9aa259d04bbc"/>
    <x:sheet xmlns:r="http://schemas.openxmlformats.org/officeDocument/2006/relationships" name="Development Roadmap" sheetId="4" r:id="R3b2c451ca8174c50"/>
    <x:sheet xmlns:r="http://schemas.openxmlformats.org/officeDocument/2006/relationships" name="Test Matrix" sheetId="5" r:id="R53054a4093bb47ac"/>
    <x:sheet xmlns:r="http://schemas.openxmlformats.org/officeDocument/2006/relationships" name="Scope Guardrails" sheetId="6" r:id="R483febfead3f4b38"/>
    <x:sheet xmlns:r="http://schemas.openxmlformats.org/officeDocument/2006/relationships" name="Lists" sheetId="7" r:id="Rdc67905e6d2140c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28">
    <x:font>
      <x:sz val="11"/>
      <x:name val="Carlito"/>
    </x:font>
    <x:font>
      <x:b/>
      <x:sz val="11"/>
      <x:color rgb="FFFFFFFF"/>
      <x:name val="Carlito"/>
    </x:font>
    <x:font>
      <x:b/>
      <x:sz val="18"/>
      <x:color rgb="FFFFFFFF"/>
      <x:name val="Carlito"/>
    </x:font>
    <x:font>
      <x:i/>
      <x:sz val="10"/>
      <x:color rgb="FFE7E7E7"/>
      <x:name val="Carlito"/>
    </x:font>
    <x:font>
      <x:b/>
      <x:sz val="11"/>
      <x:color rgb="FF101214"/>
      <x:name val="Carlito"/>
    </x:font>
    <x:font>
      <x:sz val="9"/>
      <x:color rgb="FF222222"/>
      <x:name val="Carlito"/>
    </x:font>
    <x:font>
      <x:b/>
      <x:sz val="20"/>
      <x:color rgb="FFFFFFFF"/>
      <x:name val="Carlito"/>
    </x:font>
    <x:font>
      <x:sz val="10"/>
      <x:color rgb="FFDDDDDD"/>
      <x:name val="Carlito"/>
    </x:font>
    <x:font>
      <x:b/>
      <x:sz val="11"/>
      <x:color rgb="FF4D555C"/>
      <x:name val="Carlito"/>
    </x:font>
    <x:font>
      <x:b/>
      <x:sz val="14"/>
      <x:color rgb="FF101214"/>
      <x:name val="Carlito"/>
    </x:font>
    <x:font>
      <x:b/>
      <x:sz val="11"/>
      <x:color rgb="FFA97700"/>
      <x:name val="Carlito"/>
    </x:font>
    <x:font>
      <x:b/>
      <x:sz val="11"/>
      <x:name val="Carlito"/>
    </x:font>
    <x:font>
      <x:b/>
      <x:sz val="19"/>
      <x:color rgb="FFFFFFFF"/>
      <x:name val="Carlito"/>
    </x:font>
    <x:font>
      <x:i/>
      <x:sz val="11"/>
      <x:color rgb="FFDDDDDD"/>
      <x:name val="Carlito"/>
    </x:font>
    <x:font>
      <x:b/>
      <x:sz val="20"/>
      <x:color rgb="FFFFFFFF"/>
      <x:name val="Aptos"/>
    </x:font>
    <x:font>
      <x:sz val="10"/>
      <x:color rgb="FFDDDDDD"/>
      <x:name val="Aptos"/>
    </x:font>
    <x:font>
      <x:sz val="11"/>
      <x:name val="Aptos"/>
    </x:font>
    <x:font>
      <x:b/>
      <x:sz val="11"/>
      <x:color rgb="FF101214"/>
      <x:name val="Aptos"/>
    </x:font>
    <x:font>
      <x:b/>
      <x:sz val="11"/>
      <x:color rgb="FF4D555C"/>
      <x:name val="Aptos"/>
    </x:font>
    <x:font>
      <x:b/>
      <x:sz val="14"/>
      <x:color rgb="FF101214"/>
      <x:name val="Aptos"/>
    </x:font>
    <x:font>
      <x:b/>
      <x:sz val="11"/>
      <x:color rgb="FFFFFFFF"/>
      <x:name val="Aptos"/>
    </x:font>
    <x:font>
      <x:b/>
      <x:sz val="11"/>
      <x:color rgb="FFA97700"/>
      <x:name val="Aptos"/>
    </x:font>
    <x:font>
      <x:b/>
      <x:sz val="11"/>
      <x:name val="Aptos"/>
    </x:font>
    <x:font>
      <x:b/>
      <x:sz val="19"/>
      <x:color rgb="FFFFFFFF"/>
      <x:name val="Aptos"/>
    </x:font>
    <x:font>
      <x:i/>
      <x:sz val="10"/>
      <x:color rgb="FFE7E7E7"/>
      <x:name val="Aptos"/>
    </x:font>
    <x:font>
      <x:b/>
      <x:sz val="18"/>
      <x:color rgb="FFFFFFFF"/>
      <x:name val="Aptos"/>
    </x:font>
    <x:font>
      <x:sz val="9"/>
      <x:color rgb="FF222222"/>
      <x:name val="Aptos"/>
    </x:font>
    <x:font>
      <x:i/>
      <x:sz val="11"/>
      <x:color rgb="FFDDDDDD"/>
      <x:name val="Aptos"/>
    </x:font>
  </x:fonts>
  <x:fills count="6">
    <x:fill>
      <x:patternFill patternType="none"/>
    </x:fill>
    <x:fill>
      <x:patternFill patternType="gray125"/>
    </x:fill>
    <x:fill>
      <x:patternFill patternType="solid">
        <x:fgColor rgb="FF101214"/>
      </x:patternFill>
    </x:fill>
    <x:fill>
      <x:patternFill patternType="solid">
        <x:fgColor rgb="FF202327"/>
      </x:patternFill>
    </x:fill>
    <x:fill>
      <x:patternFill patternType="solid">
        <x:fgColor rgb="FFF7B500"/>
      </x:patternFill>
    </x:fill>
    <x:fill>
      <x:patternFill patternType="solid">
        <x:fgColor rgb="FFFFFFFF"/>
      </x:patternFill>
    </x:fill>
  </x:fills>
  <x:borders count="14">
    <x:border/>
    <x:border>
      <x:left style="thin">
        <x:color rgb="FFD9DDE2"/>
      </x:left>
      <x:top style="thin">
        <x:color rgb="FFD9DDE2"/>
      </x:top>
    </x:border>
    <x:border>
      <x:right style="thin">
        <x:color rgb="FFD9DDE2"/>
      </x:right>
      <x:top style="thin">
        <x:color rgb="FFD9DDE2"/>
      </x:top>
    </x:border>
    <x:border>
      <x:left style="thin">
        <x:color rgb="FFD9DDE2"/>
      </x:left>
    </x:border>
    <x:border>
      <x:right style="thin">
        <x:color rgb="FFD9DDE2"/>
      </x:right>
    </x:border>
    <x:border>
      <x:left style="thin">
        <x:color rgb="FFD9DDE2"/>
      </x:left>
      <x:bottom style="thin">
        <x:color rgb="FFD9DDE2"/>
      </x:bottom>
    </x:border>
    <x:border>
      <x:right style="thin">
        <x:color rgb="FFD9DDE2"/>
      </x:right>
      <x:bottom style="thin">
        <x:color rgb="FFD9DDE2"/>
      </x:bottom>
    </x:border>
    <x:border>
      <x:top style="thin">
        <x:color rgb="FFD9DDE2"/>
      </x:top>
    </x:border>
    <x:border>
      <x:bottom style="thin">
        <x:color rgb="FFD9DDE2"/>
      </x:bottom>
    </x:border>
    <x:border>
      <x:left style="thin">
        <x:color rgb="FFD9DDE2"/>
      </x:left>
      <x:right style="thin">
        <x:color rgb="FFD9DDE2"/>
      </x:right>
      <x:bottom style="thin">
        <x:color rgb="FFD9DDE2"/>
      </x:bottom>
    </x:border>
    <x:border>
      <x:right style="thin">
        <x:color rgb="FFD9DDE2"/>
      </x:right>
      <x:top style="thin">
        <x:color rgb="FFD9DDE2"/>
      </x:top>
      <x:bottom style="thin">
        <x:color rgb="FFD9DDE2"/>
      </x:bottom>
    </x:border>
    <x:border>
      <x:left style="thin">
        <x:color rgb="FFD9DDE2"/>
      </x:left>
      <x:right style="thin">
        <x:color rgb="FFD9DDE2"/>
      </x:right>
      <x:top style="thin">
        <x:color rgb="FFD9DDE2"/>
      </x:top>
      <x:bottom style="thin">
        <x:color rgb="FFD9DDE2"/>
      </x:bottom>
    </x:border>
    <x:border>
      <x:left style="thin">
        <x:color rgb="FFD9DDE2"/>
      </x:left>
      <x:top style="thin">
        <x:color rgb="FFD9DDE2"/>
      </x:top>
      <x:bottom style="thin">
        <x:color rgb="FFD9DDE2"/>
      </x:bottom>
    </x:border>
    <x:border>
      <x:left style="thin">
        <x:color rgb="FFD9DDE2"/>
      </x:left>
      <x:right style="thin">
        <x:color rgb="FFD9DDE2"/>
      </x:right>
      <x:top style="thin">
        <x:color rgb="FFD9DDE2"/>
      </x:top>
    </x:border>
  </x:borders>
  <x:cellStyleXfs count="1">
    <x:xf numFmtId="0" fontId="0" fillId="0" borderId="0"/>
  </x:cellStyleXfs>
  <x:cellXfs count="143">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3" borderId="0" xfId="0" applyNumberFormat="1" applyFont="1" applyFill="1" applyBorder="1"/>
    <x:xf numFmtId="0" fontId="7" fillId="3" borderId="0" xfId="0" applyNumberFormat="1" applyFont="1" applyFill="1" applyBorder="1" applyAlignment="1">
      <x:alignment wrapText="1"/>
    </x:xf>
    <x:xf numFmtId="0" fontId="4" fillId="4" borderId="0" xfId="0" applyNumberFormat="1" applyFont="1" applyFill="1" applyBorder="1" applyAlignment="1">
      <x:alignment horizontal="center"/>
    </x:xf>
    <x:xf numFmtId="200" fontId="0" fillId="0" borderId="0" xfId="0" applyNumberFormat="1" applyFont="1" applyFill="1" applyBorder="1"/>
    <x:xf numFmtId="0" fontId="0" fillId="5" borderId="0" xfId="0" applyNumberFormat="1" applyFont="1" applyFill="1" applyBorder="1"/>
    <x:xf numFmtId="20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200" fontId="0" fillId="5" borderId="6" xfId="0" applyNumberFormat="1" applyFont="1" applyFill="1" applyBorder="1"/>
    <x:xf numFmtId="0" fontId="8" fillId="5" borderId="1" xfId="0" applyNumberFormat="1" applyFont="1" applyFill="1" applyBorder="1"/>
    <x:xf numFmtId="0" fontId="8" fillId="5" borderId="3" xfId="0" applyNumberFormat="1" applyFont="1" applyFill="1" applyBorder="1"/>
    <x:xf numFmtId="0" fontId="8" fillId="5" borderId="5" xfId="0" applyNumberFormat="1" applyFont="1" applyFill="1" applyBorder="1"/>
    <x:xf numFmtId="0" fontId="9" fillId="5" borderId="2" xfId="0" applyNumberFormat="1" applyFont="1" applyFill="1" applyBorder="1"/>
    <x:xf numFmtId="0" fontId="9" fillId="5" borderId="4" xfId="0" applyNumberFormat="1" applyFont="1" applyFill="1" applyBorder="1"/>
    <x:xf numFmtId="200" fontId="9" fillId="5" borderId="6" xfId="0" applyNumberFormat="1" applyFont="1" applyFill="1" applyBorder="1"/>
    <x:xf numFmtId="0" fontId="0" fillId="5" borderId="7" xfId="0" applyNumberFormat="1" applyFont="1" applyFill="1" applyBorder="1"/>
    <x:xf numFmtId="0" fontId="0" fillId="5" borderId="8" xfId="0" applyNumberFormat="1" applyFont="1" applyFill="1" applyBorder="1"/>
    <x:xf numFmtId="0" fontId="0" fillId="5" borderId="6" xfId="0" applyNumberFormat="1" applyFont="1" applyFill="1" applyBorder="1"/>
    <x:xf numFmtId="0" fontId="0" fillId="5" borderId="1"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2"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6" xfId="0" applyNumberFormat="1" applyFont="1" applyFill="1" applyBorder="1" applyAlignment="1">
      <x:alignment wrapText="1"/>
    </x:xf>
    <x:xf numFmtId="0" fontId="8" fillId="5" borderId="1" xfId="0" applyNumberFormat="1" applyFont="1" applyFill="1" applyBorder="1" applyAlignment="1">
      <x:alignment wrapText="1"/>
    </x:xf>
    <x:xf numFmtId="0" fontId="8" fillId="5" borderId="3" xfId="0" applyNumberFormat="1" applyFont="1" applyFill="1" applyBorder="1" applyAlignment="1">
      <x:alignment wrapText="1"/>
    </x:xf>
    <x:xf numFmtId="0" fontId="8" fillId="5" borderId="5" xfId="0" applyNumberFormat="1" applyFont="1" applyFill="1" applyBorder="1" applyAlignment="1">
      <x:alignment wrapText="1"/>
    </x:xf>
    <x:xf numFmtId="0" fontId="0" fillId="5" borderId="9" xfId="0" applyNumberFormat="1" applyFont="1" applyFill="1" applyBorder="1"/>
    <x:xf numFmtId="0" fontId="0" fillId="5" borderId="1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10" fillId="5" borderId="6" xfId="0" applyNumberFormat="1" applyFont="1" applyFill="1" applyBorder="1" applyAlignment="1">
      <x:alignment wrapText="1"/>
    </x:xf>
    <x:xf numFmtId="0" fontId="10" fillId="5" borderId="10" xfId="0" applyNumberFormat="1" applyFont="1" applyFill="1" applyBorder="1" applyAlignment="1">
      <x:alignment wrapText="1"/>
    </x:xf>
    <x:xf numFmtId="0" fontId="10" fillId="5" borderId="2" xfId="0" applyNumberFormat="1" applyFont="1" applyFill="1" applyBorder="1" applyAlignment="1">
      <x:alignment wrapText="1"/>
    </x:xf>
    <x:xf numFmtId="0" fontId="11" fillId="5" borderId="9" xfId="0" applyNumberFormat="1" applyFont="1" applyFill="1" applyBorder="1" applyAlignment="1">
      <x:alignment wrapText="1"/>
    </x:xf>
    <x:xf numFmtId="0" fontId="11" fillId="5" borderId="11" xfId="0" applyNumberFormat="1" applyFont="1" applyFill="1" applyBorder="1" applyAlignment="1">
      <x:alignment wrapText="1"/>
    </x:xf>
    <x:xf numFmtId="0" fontId="11" fillId="5" borderId="13" xfId="0" applyNumberFormat="1" applyFont="1" applyFill="1" applyBorder="1" applyAlignment="1">
      <x:alignment wrapText="1"/>
    </x:xf>
    <x:xf numFmtId="0" fontId="12" fillId="2" borderId="0" xfId="0" applyNumberFormat="1" applyFont="1" applyFill="1" applyBorder="1"/>
    <x:xf numFmtId="0" fontId="12" fillId="2" borderId="0" xfId="0" applyNumberFormat="1" applyFont="1" applyFill="1" applyBorder="1" applyAlignment="1">
      <x:alignment vertical="center"/>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4" fillId="4" borderId="0" xfId="0" applyNumberFormat="1" applyFont="1" applyFill="1" applyBorder="1" applyAlignment="1">
      <x:alignment vertical="center"/>
    </x:xf>
    <x:xf numFmtId="0" fontId="0" fillId="5" borderId="6"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10" xfId="0" applyNumberFormat="1" applyFont="1" applyFill="1" applyBorder="1" applyAlignment="1">
      <x:alignment vertical="top" wrapText="1"/>
    </x:xf>
    <x:xf numFmtId="0" fontId="8" fillId="5" borderId="2" xfId="0" applyNumberFormat="1" applyFont="1" applyFill="1" applyBorder="1" applyAlignment="1">
      <x:alignment vertical="top" wrapText="1"/>
    </x:xf>
    <x:xf numFmtId="0" fontId="13" fillId="3" borderId="0" xfId="0" applyNumberFormat="1" applyFont="1" applyFill="1" applyBorder="1"/>
    <x:xf numFmtId="0" fontId="0" fillId="0" borderId="0" xfId="0" applyNumberFormat="1" applyFont="1" applyFill="1" applyBorder="1" applyAlignment="1">
      <x:alignment wrapText="1"/>
    </x:xf>
    <x:xf numFmtId="0" fontId="14" fillId="2" borderId="0" xfId="0" applyNumberFormat="1" applyFont="1" applyFill="1" applyBorder="1" applyAlignment="1">
      <x:alignment vertical="center"/>
    </x:xf>
    <x:xf numFmtId="0" fontId="15" fillId="3" borderId="0" xfId="0" applyNumberFormat="1" applyFont="1" applyFill="1" applyBorder="1" applyAlignment="1">
      <x:alignment wrapText="1"/>
    </x:xf>
    <x:xf numFmtId="0" fontId="16" fillId="0" borderId="0" xfId="0" applyNumberFormat="1" applyFont="1" applyFill="1" applyBorder="1"/>
    <x:xf numFmtId="0" fontId="17" fillId="4" borderId="0" xfId="0" applyNumberFormat="1" applyFont="1" applyFill="1" applyBorder="1" applyAlignment="1">
      <x:alignment horizontal="center"/>
    </x:xf>
    <x:xf numFmtId="0" fontId="18" fillId="5" borderId="1" xfId="0" applyNumberFormat="1" applyFont="1" applyFill="1" applyBorder="1"/>
    <x:xf numFmtId="0" fontId="19" fillId="5" borderId="2" xfId="0" applyNumberFormat="1" applyFont="1" applyFill="1" applyBorder="1"/>
    <x:xf numFmtId="0" fontId="18" fillId="5" borderId="1" xfId="0" applyNumberFormat="1" applyFont="1" applyFill="1" applyBorder="1" applyAlignment="1">
      <x:alignment wrapText="1"/>
    </x:xf>
    <x:xf numFmtId="0" fontId="16" fillId="5" borderId="7" xfId="0" applyNumberFormat="1" applyFont="1" applyFill="1" applyBorder="1" applyAlignment="1">
      <x:alignment wrapText="1"/>
    </x:xf>
    <x:xf numFmtId="0" fontId="16" fillId="5" borderId="2" xfId="0" applyNumberFormat="1" applyFont="1" applyFill="1" applyBorder="1" applyAlignment="1">
      <x:alignment wrapText="1"/>
    </x:xf>
    <x:xf numFmtId="0" fontId="18" fillId="5" borderId="3" xfId="0" applyNumberFormat="1" applyFont="1" applyFill="1" applyBorder="1"/>
    <x:xf numFmtId="0" fontId="19" fillId="5" borderId="4" xfId="0" applyNumberFormat="1" applyFont="1" applyFill="1" applyBorder="1"/>
    <x:xf numFmtId="0" fontId="18" fillId="5" borderId="3" xfId="0" applyNumberFormat="1" applyFont="1" applyFill="1" applyBorder="1" applyAlignment="1">
      <x:alignment wrapText="1"/>
    </x:xf>
    <x:xf numFmtId="0" fontId="16" fillId="5" borderId="0" xfId="0" applyNumberFormat="1" applyFont="1" applyFill="1" applyBorder="1" applyAlignment="1">
      <x:alignment wrapText="1"/>
    </x:xf>
    <x:xf numFmtId="0" fontId="16" fillId="5" borderId="4" xfId="0" applyNumberFormat="1" applyFont="1" applyFill="1" applyBorder="1" applyAlignment="1">
      <x:alignment wrapText="1"/>
    </x:xf>
    <x:xf numFmtId="0" fontId="18" fillId="5" borderId="5" xfId="0" applyNumberFormat="1" applyFont="1" applyFill="1" applyBorder="1"/>
    <x:xf numFmtId="200" fontId="19" fillId="5" borderId="6" xfId="0" applyNumberFormat="1" applyFont="1" applyFill="1" applyBorder="1"/>
    <x:xf numFmtId="0" fontId="18" fillId="5" borderId="5" xfId="0" applyNumberFormat="1" applyFont="1" applyFill="1" applyBorder="1" applyAlignment="1">
      <x:alignment wrapText="1"/>
    </x:xf>
    <x:xf numFmtId="0" fontId="16" fillId="5" borderId="8" xfId="0" applyNumberFormat="1" applyFont="1" applyFill="1" applyBorder="1" applyAlignment="1">
      <x:alignment wrapText="1"/>
    </x:xf>
    <x:xf numFmtId="0" fontId="16" fillId="5" borderId="6" xfId="0" applyNumberFormat="1" applyFont="1" applyFill="1" applyBorder="1" applyAlignment="1">
      <x:alignment wrapText="1"/>
    </x:xf>
    <x:xf numFmtId="0" fontId="20" fillId="2" borderId="0" xfId="0" applyNumberFormat="1" applyFont="1" applyFill="1" applyBorder="1"/>
    <x:xf numFmtId="0" fontId="16" fillId="5" borderId="9" xfId="0" applyNumberFormat="1" applyFont="1" applyFill="1" applyBorder="1" applyAlignment="1">
      <x:alignment wrapText="1"/>
    </x:xf>
    <x:xf numFmtId="0" fontId="16" fillId="5" borderId="5" xfId="0" applyNumberFormat="1" applyFont="1" applyFill="1" applyBorder="1" applyAlignment="1">
      <x:alignment wrapText="1"/>
    </x:xf>
    <x:xf numFmtId="0" fontId="16" fillId="5" borderId="10" xfId="0" applyNumberFormat="1" applyFont="1" applyFill="1" applyBorder="1" applyAlignment="1">
      <x:alignment wrapText="1"/>
    </x:xf>
    <x:xf numFmtId="0" fontId="16" fillId="5" borderId="11" xfId="0" applyNumberFormat="1" applyFont="1" applyFill="1" applyBorder="1" applyAlignment="1">
      <x:alignment wrapText="1"/>
    </x:xf>
    <x:xf numFmtId="0" fontId="16" fillId="5" borderId="12" xfId="0" applyNumberFormat="1" applyFont="1" applyFill="1" applyBorder="1" applyAlignment="1">
      <x:alignment wrapText="1"/>
    </x:xf>
    <x:xf numFmtId="0" fontId="16" fillId="5" borderId="13" xfId="0" applyNumberFormat="1" applyFont="1" applyFill="1" applyBorder="1" applyAlignment="1">
      <x:alignment wrapText="1"/>
    </x:xf>
    <x:xf numFmtId="0" fontId="16" fillId="5" borderId="1" xfId="0" applyNumberFormat="1" applyFont="1" applyFill="1" applyBorder="1" applyAlignment="1">
      <x:alignment wrapText="1"/>
    </x:xf>
    <x:xf numFmtId="0" fontId="17" fillId="4" borderId="0" xfId="0" applyNumberFormat="1" applyFont="1" applyFill="1" applyBorder="1"/>
    <x:xf numFmtId="0" fontId="21" fillId="5" borderId="6" xfId="0" applyNumberFormat="1" applyFont="1" applyFill="1" applyBorder="1" applyAlignment="1">
      <x:alignment wrapText="1"/>
    </x:xf>
    <x:xf numFmtId="0" fontId="22" fillId="5" borderId="9" xfId="0" applyNumberFormat="1" applyFont="1" applyFill="1" applyBorder="1" applyAlignment="1">
      <x:alignment wrapText="1"/>
    </x:xf>
    <x:xf numFmtId="0" fontId="21" fillId="5" borderId="10" xfId="0" applyNumberFormat="1" applyFont="1" applyFill="1" applyBorder="1" applyAlignment="1">
      <x:alignment wrapText="1"/>
    </x:xf>
    <x:xf numFmtId="0" fontId="22" fillId="5" borderId="11" xfId="0" applyNumberFormat="1" applyFont="1" applyFill="1" applyBorder="1" applyAlignment="1">
      <x:alignment wrapText="1"/>
    </x:xf>
    <x:xf numFmtId="0" fontId="21" fillId="5" borderId="2" xfId="0" applyNumberFormat="1" applyFont="1" applyFill="1" applyBorder="1" applyAlignment="1">
      <x:alignment wrapText="1"/>
    </x:xf>
    <x:xf numFmtId="0" fontId="22" fillId="5" borderId="13" xfId="0" applyNumberFormat="1" applyFont="1" applyFill="1" applyBorder="1" applyAlignment="1">
      <x:alignment wrapText="1"/>
    </x:xf>
    <x:xf numFmtId="0" fontId="23" fillId="2" borderId="0" xfId="0" applyNumberFormat="1" applyFont="1" applyFill="1" applyBorder="1" applyAlignment="1">
      <x:alignment vertical="center"/>
    </x:xf>
    <x:xf numFmtId="0" fontId="24" fillId="3" borderId="0" xfId="0" applyNumberFormat="1" applyFont="1" applyFill="1" applyBorder="1" applyAlignment="1">
      <x:alignment vertical="center" wrapText="1"/>
    </x:xf>
    <x:xf numFmtId="0" fontId="17" fillId="4" borderId="0" xfId="0" applyNumberFormat="1" applyFont="1" applyFill="1" applyBorder="1" applyAlignment="1">
      <x:alignment vertical="center"/>
    </x:xf>
    <x:xf numFmtId="0" fontId="18" fillId="5" borderId="6" xfId="0" applyNumberFormat="1" applyFont="1" applyFill="1" applyBorder="1" applyAlignment="1">
      <x:alignment vertical="top" wrapText="1"/>
    </x:xf>
    <x:xf numFmtId="0" fontId="16" fillId="5" borderId="9" xfId="0" applyNumberFormat="1" applyFont="1" applyFill="1" applyBorder="1" applyAlignment="1">
      <x:alignment vertical="top" wrapText="1"/>
    </x:xf>
    <x:xf numFmtId="0" fontId="16" fillId="5" borderId="5" xfId="0" applyNumberFormat="1" applyFont="1" applyFill="1" applyBorder="1" applyAlignment="1">
      <x:alignment vertical="top" wrapText="1"/>
    </x:xf>
    <x:xf numFmtId="0" fontId="18" fillId="5" borderId="10" xfId="0" applyNumberFormat="1" applyFont="1" applyFill="1" applyBorder="1" applyAlignment="1">
      <x:alignment vertical="top" wrapText="1"/>
    </x:xf>
    <x:xf numFmtId="0" fontId="16" fillId="5" borderId="11" xfId="0" applyNumberFormat="1" applyFont="1" applyFill="1" applyBorder="1" applyAlignment="1">
      <x:alignment vertical="top" wrapText="1"/>
    </x:xf>
    <x:xf numFmtId="0" fontId="16" fillId="5" borderId="12" xfId="0" applyNumberFormat="1" applyFont="1" applyFill="1" applyBorder="1" applyAlignment="1">
      <x:alignment vertical="top" wrapText="1"/>
    </x:xf>
    <x:xf numFmtId="0" fontId="18" fillId="5" borderId="2" xfId="0" applyNumberFormat="1" applyFont="1" applyFill="1" applyBorder="1" applyAlignment="1">
      <x:alignment vertical="top" wrapText="1"/>
    </x:xf>
    <x:xf numFmtId="0" fontId="16" fillId="5" borderId="13" xfId="0" applyNumberFormat="1" applyFont="1" applyFill="1" applyBorder="1" applyAlignment="1">
      <x:alignment vertical="top" wrapText="1"/>
    </x:xf>
    <x:xf numFmtId="0" fontId="16" fillId="5" borderId="1" xfId="0" applyNumberFormat="1" applyFont="1" applyFill="1" applyBorder="1" applyAlignment="1">
      <x:alignment vertical="top" wrapText="1"/>
    </x:xf>
    <x:xf numFmtId="0" fontId="25" fillId="2" borderId="0" xfId="0" applyNumberFormat="1" applyFont="1" applyFill="1" applyBorder="1" applyAlignment="1">
      <x:alignment vertical="center"/>
    </x:xf>
    <x:xf numFmtId="0" fontId="24" fillId="3" borderId="0" xfId="0" applyNumberFormat="1" applyFont="1" applyFill="1" applyBorder="1" applyAlignment="1">
      <x:alignment vertical="center"/>
    </x:xf>
    <x:xf numFmtId="0" fontId="17" fillId="4" borderId="0" xfId="0" applyNumberFormat="1" applyFont="1" applyFill="1" applyBorder="1" applyAlignment="1">
      <x:alignment vertical="center" wrapText="1"/>
    </x:xf>
    <x:xf numFmtId="0" fontId="26" fillId="0" borderId="0" xfId="0" applyNumberFormat="1" applyFont="1" applyFill="1" applyBorder="1" applyAlignment="1">
      <x:alignment vertical="top"/>
    </x:xf>
    <x:xf numFmtId="0" fontId="26" fillId="0" borderId="0" xfId="0" applyNumberFormat="1" applyFont="1" applyFill="1" applyBorder="1" applyAlignment="1">
      <x:alignment vertical="top" wrapText="1"/>
    </x:xf>
    <x:xf numFmtId="200" fontId="26" fillId="0" borderId="0" xfId="0" applyNumberFormat="1" applyFont="1" applyFill="1" applyBorder="1" applyAlignment="1">
      <x:alignment vertical="top" wrapText="1"/>
    </x:xf>
    <x:xf numFmtId="0" fontId="25" fillId="2" borderId="0" xfId="0" applyNumberFormat="1" applyFont="1" applyFill="1" applyBorder="1"/>
    <x:xf numFmtId="0" fontId="27" fillId="3" borderId="0" xfId="0" applyNumberFormat="1" applyFont="1" applyFill="1" applyBorder="1"/>
    <x:xf numFmtId="0" fontId="17" fillId="4" borderId="0" xfId="0" applyNumberFormat="1" applyFont="1" applyFill="1" applyBorder="1" applyAlignment="1">
      <x:alignment wrapText="1"/>
    </x:xf>
    <x:xf numFmtId="0" fontId="16" fillId="0" borderId="0" xfId="0" applyNumberFormat="1" applyFont="1" applyFill="1" applyBorder="1" applyAlignment="1">
      <x:alignment wrapText="1"/>
    </x:xf>
    <x:xf numFmtId="201" fontId="19" fillId="5" borderId="6" xfId="0" applyNumberFormat="1" applyFont="1" applyFill="1" applyBorder="1"/>
  </x:cellXfs>
  <x:cellStyles count="1">
    <x:cellStyle name="Normal" xfId="0"/>
  </x:cellStyles>
  <x:dxfs count="7">
    <x:dxf>
      <x:font>
        <x:b/>
        <x:color rgb="FF176B36"/>
      </x:font>
      <x:fill>
        <x:patternFill>
          <x:bgColor rgb="FFDDF4E4"/>
        </x:patternFill>
      </x:fill>
    </x:dxf>
    <x:dxf>
      <x:font>
        <x:b/>
        <x:color rgb="FF165AA7"/>
      </x:font>
      <x:fill>
        <x:patternFill>
          <x:bgColor rgb="FFDCEBFF"/>
        </x:patternFill>
      </x:fill>
    </x:dxf>
    <x:dxf>
      <x:font>
        <x:b/>
        <x:color rgb="FF8A5A00"/>
      </x:font>
      <x:fill>
        <x:patternFill>
          <x:bgColor rgb="FFFFF1C7"/>
        </x:patternFill>
      </x:fill>
    </x:dxf>
    <x:dxf>
      <x:font>
        <x:color rgb="FF8A5A00"/>
      </x:font>
      <x:fill>
        <x:patternFill>
          <x:bgColor rgb="FFFFF1C7"/>
        </x:patternFill>
      </x:fill>
    </x:dxf>
    <x:dxf>
      <x:font>
        <x:b/>
        <x:color rgb="FFA32121"/>
      </x:font>
      <x:fill>
        <x:patternFill>
          <x:bgColor rgb="FFFDE0E0"/>
        </x:patternFill>
      </x:fill>
    </x:dxf>
    <x:dxf>
      <x:font>
        <x:color rgb="FF4D555C"/>
      </x:font>
      <x:fill>
        <x:patternFill>
          <x:bgColor rgb="FFE9ECEF"/>
        </x:patternFill>
      </x:fill>
    </x:dxf>
    <x:dxf>
      <x:font>
        <x:b/>
        <x:color rgb="FFFFFFFF"/>
      </x:font>
      <x:fill>
        <x:patternFill>
          <x:bgColor rgb="FF20232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d866417cdd4297" /><Relationship Type="http://schemas.openxmlformats.org/officeDocument/2006/relationships/theme" Target="/xl/theme/theme1.xml" Id="R9eda05591d2c4f72" /><Relationship Type="http://schemas.openxmlformats.org/officeDocument/2006/relationships/sharedStrings" Target="/xl/sharedStrings.xml" Id="R6671a9550f674ae8" /><Relationship Type="http://schemas.openxmlformats.org/officeDocument/2006/relationships/worksheet" Target="/xl/worksheets/sheet1.xml" Id="R76026efacb3346c1" /><Relationship Type="http://schemas.openxmlformats.org/officeDocument/2006/relationships/worksheet" Target="/xl/worksheets/sheet2.xml" Id="R635bce7103724939" /><Relationship Type="http://schemas.openxmlformats.org/officeDocument/2006/relationships/worksheet" Target="/xl/worksheets/sheet3.xml" Id="R63ee9aa259d04bbc" /><Relationship Type="http://schemas.openxmlformats.org/officeDocument/2006/relationships/worksheet" Target="/xl/worksheets/sheet4.xml" Id="R3b2c451ca8174c50" /><Relationship Type="http://schemas.openxmlformats.org/officeDocument/2006/relationships/worksheet" Target="/xl/worksheets/sheet5.xml" Id="R53054a4093bb47ac" /><Relationship Type="http://schemas.openxmlformats.org/officeDocument/2006/relationships/worksheet" Target="/xl/worksheets/sheet6.xml" Id="R483febfead3f4b38" /><Relationship Type="http://schemas.openxmlformats.org/officeDocument/2006/relationships/worksheet" Target="/xl/worksheets/sheet7.xml" Id="Rdc67905e6d2140c7" /></Relationships>
</file>

<file path=xl/drawings/_rels/drawing1.xml.rels>&#65279;<?xml version="1.0" encoding="utf-8"?><Relationships xmlns="http://schemas.openxmlformats.org/package/2006/relationships"><Relationship Type="http://schemas.openxmlformats.org/officeDocument/2006/relationships/chart" Target="/xl/drawings/charts/chart1.xml" Id="Raa062310f29a4d6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Current feature status distribution</a:t>
            </a:r>
          </a:p>
        </c:rich>
      </c:tx>
      <c:overlay val="0"/>
    </c:title>
    <c:plotArea>
      <c:barChart>
        <c:barDir val="col"/>
        <c:varyColors val="0"/>
        <c:ser>
          <c:idx val="0"/>
          <c:order val="0"/>
          <c:tx>
            <c:v>Count</c:v>
          </c:tx>
          <c:cat>
            <c:strRef>
              <c:f>'Dashboard'!$A$15:$A$19</c:f>
              <c:strCache>
                <c:ptCount val="0"/>
              </c:strCache>
            </c:strRef>
          </c:cat>
          <c:val>
            <c:numRef>
              <c:f>'Dashboard'!$B$15:$B$19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13</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062310f29a4d61"/>
        </a:graphicData>
      </a:graphic>
    </xdr:graphicFrame>
    <xdr:clientData/>
  </xdr:twoCellAnchor>
</xdr:wsDr>
</file>

<file path=xl/tables/table1.xml><?xml version="1.0" encoding="utf-8"?>
<x:table xmlns:x="http://schemas.openxmlformats.org/spreadsheetml/2006/main" id="1" name="FeatureTrackerTable" displayName="FeatureTrackerTable" ref="A4:O215" headerRowCount="1" totalsRowCount="0" totalsRowShown="0">
  <x:autoFilter ref="A4:O215"/>
  <x:tableColumns count="15">
    <x:tableColumn id="1" name="ID"/>
    <x:tableColumn id="2" name="Module"/>
    <x:tableColumn id="3" name="Feature"/>
    <x:tableColumn id="4" name="Detailed Requirement"/>
    <x:tableColumn id="5" name="Scope"/>
    <x:tableColumn id="6" name="Status"/>
    <x:tableColumn id="7" name="Completion"/>
    <x:tableColumn id="8" name="Priority"/>
    <x:tableColumn id="9" name="Development Stage"/>
    <x:tableColumn id="10" name="Owner"/>
    <x:tableColumn id="11" name="Dependency / Prerequisite"/>
    <x:tableColumn id="12" name="Definition of Done / Acceptance Criteria"/>
    <x:tableColumn id="13" name="Required Testing"/>
    <x:tableColumn id="14" name="Current Evidence / Gap"/>
    <x:tableColumn id="15" name="Next Action"/>
  </x:tableColumns>
  <x:tableStyleInfo name="TableStyleMedium2" showFirstColumn="0" showLastColumn="0" showRowStripes="1" showColumnStripes="0"/>
</x:table>
</file>

<file path=xl/tables/table2.xml><?xml version="1.0" encoding="utf-8"?>
<x:table xmlns:x="http://schemas.openxmlformats.org/spreadsheetml/2006/main" id="2" name="RoadmapTable" displayName="RoadmapTable" ref="A4:G24" headerRowCount="1" totalsRowCount="0" totalsRowShown="0">
  <x:tableColumns count="7">
    <x:tableColumn id="1" name="Order"/>
    <x:tableColumn id="2" name="Stage"/>
    <x:tableColumn id="3" name="Work Package"/>
    <x:tableColumn id="4" name="Suggested Branch"/>
    <x:tableColumn id="5" name="Included Scope"/>
    <x:tableColumn id="6" name="Exit Gate"/>
    <x:tableColumn id="7" name="Status"/>
  </x:tableColumns>
  <x:tableStyleInfo name="TableStyleMedium2" showFirstColumn="0" showLastColumn="0" showRowStripes="1" showColumnStripes="0"/>
</x:table>
</file>

<file path=xl/tables/table3.xml><?xml version="1.0" encoding="utf-8"?>
<x:table xmlns:x="http://schemas.openxmlformats.org/spreadsheetml/2006/main" id="3" name="TestMatrixTable" displayName="TestMatrixTable" ref="A4:H61" headerRowCount="1" totalsRowCount="0" totalsRowShown="0">
  <x:tableColumns count="8">
    <x:tableColumn id="1" name="Test ID"/>
    <x:tableColumn id="2" name="Module"/>
    <x:tableColumn id="3" name="Scenario"/>
    <x:tableColumn id="4" name="Test Type"/>
    <x:tableColumn id="5" name="Automation"/>
    <x:tableColumn id="6" name="Current Result"/>
    <x:tableColumn id="7" name="Entry Condition"/>
    <x:tableColumn id="8" name="Expected Result"/>
  </x:tableColumns>
  <x:tableStyleInfo name="TableStyleMedium2" showFirstColumn="0" showLastColumn="0" showRowStripes="1" showColumnStripes="0"/>
</x:table>
</file>

<file path=xl/tables/table4.xml><?xml version="1.0" encoding="utf-8"?>
<x:table xmlns:x="http://schemas.openxmlformats.org/spreadsheetml/2006/main" id="4" name="GuardrailTable" displayName="GuardrailTable" ref="A4:D16" headerRowCount="1" totalsRowCount="0" totalsRowShown="0">
  <x:tableColumns count="4">
    <x:tableColumn id="1" name="Area"/>
    <x:tableColumn id="2" name="Excluded Functionality"/>
    <x:tableColumn id="3" name="Status"/>
    <x:tableColumn id="4" name="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d2cc5c586e54cc3" /></Relationships>
</file>

<file path=xl/worksheets/_rels/sheet3.xml.rels>&#65279;<?xml version="1.0" encoding="utf-8"?><Relationships xmlns="http://schemas.openxmlformats.org/package/2006/relationships"><Relationship Type="http://schemas.openxmlformats.org/officeDocument/2006/relationships/table" Target="/xl/tables/table1.xml" Id="R1730576df6704d04" /></Relationships>
</file>

<file path=xl/worksheets/_rels/sheet4.xml.rels>&#65279;<?xml version="1.0" encoding="utf-8"?><Relationships xmlns="http://schemas.openxmlformats.org/package/2006/relationships"><Relationship Type="http://schemas.openxmlformats.org/officeDocument/2006/relationships/table" Target="/xl/tables/table2.xml" Id="Re8dfeb112f554f78" /></Relationships>
</file>

<file path=xl/worksheets/_rels/sheet5.xml.rels>&#65279;<?xml version="1.0" encoding="utf-8"?><Relationships xmlns="http://schemas.openxmlformats.org/package/2006/relationships"><Relationship Type="http://schemas.openxmlformats.org/officeDocument/2006/relationships/table" Target="/xl/tables/table3.xml" Id="R500fa6b9ed87427c" /></Relationships>
</file>

<file path=xl/worksheets/_rels/sheet6.xml.rels>&#65279;<?xml version="1.0" encoding="utf-8"?><Relationships xmlns="http://schemas.openxmlformats.org/package/2006/relationships"><Relationship Type="http://schemas.openxmlformats.org/officeDocument/2006/relationships/table" Target="/xl/tables/table4.xml" Id="R3d0ab4a8450f49e4"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45" hidden="0" customWidth="1"/>
    <x:col min="4" max="4" width="22" hidden="0" customWidth="1"/>
    <x:col min="5" max="5" width="17" hidden="0" customWidth="1"/>
    <x:col min="6" max="6" width="23" hidden="0" customWidth="1"/>
    <x:col min="7" max="7" width="23" hidden="0" customWidth="1"/>
    <x:col min="8" max="8" width="18" hidden="0" customWidth="1"/>
    <x:col min="9" max="9" width="18" hidden="0" customWidth="1"/>
    <x:col min="10" max="10" width="18" hidden="0" customWidth="1"/>
  </x:cols>
  <x:sheetData>
    <x:row r="1" ht="38" customHeight="1">
      <x:c r="A1" s="86" t="str">
        <x:v>JaniWheels V1 Development Control Sheet - 13 October 2026</x:v>
      </x:c>
      <x:c r="B1" s="86"/>
      <x:c r="C1" s="86"/>
      <x:c r="D1" s="86"/>
      <x:c r="E1" s="86"/>
      <x:c r="F1" s="86"/>
      <x:c r="G1" s="86"/>
      <x:c r="H1" s="86"/>
      <x:c r="I1" s="86"/>
      <x:c r="J1" s="86"/>
    </x:row>
    <x:row r="2" ht="32" customHeight="1">
      <x:c r="A2" s="87" t="str">
        <x:v>Completion is the equal-weight average of in-scope feature estimates, not effort spent or launch approval. Evidence, remaining gates and next actions are recorded in Feature Tracker.</x:v>
      </x:c>
      <x:c r="B2" s="87"/>
      <x:c r="C2" s="87"/>
      <x:c r="D2" s="87"/>
      <x:c r="E2" s="87"/>
      <x:c r="F2" s="87"/>
      <x:c r="G2" s="87"/>
      <x:c r="H2" s="87"/>
      <x:c r="I2" s="87"/>
      <x:c r="J2" s="87"/>
    </x:row>
    <x:row r="3">
      <x:c r="A3" s="88"/>
      <x:c r="B3" s="88"/>
      <x:c r="C3" s="88"/>
      <x:c r="D3" s="88"/>
      <x:c r="E3" s="88"/>
      <x:c r="F3" s="88"/>
      <x:c r="G3" s="88"/>
      <x:c r="H3" s="88"/>
      <x:c r="I3" s="88"/>
      <x:c r="J3" s="88"/>
    </x:row>
    <x:row r="4">
      <x:c r="A4" s="89" t="str">
        <x:v>SCOPE STATUS</x:v>
      </x:c>
      <x:c r="B4" s="89"/>
      <x:c r="C4" s="89"/>
      <x:c r="D4" s="89" t="str">
        <x:v>QUALITY GATES</x:v>
      </x:c>
      <x:c r="E4" s="89"/>
      <x:c r="F4" s="89"/>
      <x:c r="G4" s="89" t="str">
        <x:v>CURRENT RELEASE</x:v>
      </x:c>
      <x:c r="H4" s="89"/>
      <x:c r="I4" s="89"/>
      <x:c r="J4" s="89"/>
    </x:row>
    <x:row r="5" ht="16.799999237060547" hidden="0" customHeight="1">
      <x:c r="A5" s="90" t="str">
        <x:v>In-scope feature rows</x:v>
      </x:c>
      <x:c r="B5" s="91" t="n">
        <x:f>COUNTIFS('Feature Tracker'!$A$5:$A$215,"&lt;&gt;",'Feature Tracker'!$E$5:$E$215,"&lt;&gt;Excluded / Change Request",'Feature Tracker'!$F$5:$F$215,"&lt;&gt;Out of Scope / Removed")</x:f>
        <x:v>199</x:v>
      </x:c>
      <x:c r="C5" s="88"/>
      <x:c r="D5" s="92" t="str">
        <x:v>TypeScript</x:v>
      </x:c>
      <x:c r="E5" s="93" t="str">
        <x:v>Passed</x:v>
      </x:c>
      <x:c r="F5" s="94" t="str">
        <x:v>Local checks passed</x:v>
      </x:c>
      <x:c r="G5" s="92" t="str">
        <x:v>Current branch</x:v>
      </x:c>
      <x:c r="H5" s="93" t="str">
        <x:v>codex/prelaunch-security-qa; review pending</x:v>
      </x:c>
      <x:c r="I5" s="93"/>
      <x:c r="J5" s="94"/>
    </x:row>
    <x:row r="6" ht="16.799999237060547" hidden="0" customHeight="1">
      <x:c r="A6" s="95" t="str">
        <x:v>Completed</x:v>
      </x:c>
      <x:c r="B6" s="96" t="n">
        <x:f>COUNTIF('Feature Tracker'!$F$5:$F$215,"Completed")</x:f>
        <x:v>158</x:v>
      </x:c>
      <x:c r="C6" s="88"/>
      <x:c r="D6" s="97" t="str">
        <x:v>Lint</x:v>
      </x:c>
      <x:c r="E6" s="98" t="str">
        <x:v>Passed</x:v>
      </x:c>
      <x:c r="F6" s="99" t="str">
        <x:v>No warnings/errors</x:v>
      </x:c>
      <x:c r="G6" s="97" t="str">
        <x:v>Current stage</x:v>
      </x:c>
      <x:c r="H6" s="98" t="str">
        <x:v>PR #7 merged; prehosting local security and QA verified</x:v>
      </x:c>
      <x:c r="I6" s="98"/>
      <x:c r="J6" s="99"/>
    </x:row>
    <x:row r="7" ht="26.399999618530273" hidden="0" customHeight="1">
      <x:c r="A7" s="95" t="str">
        <x:v>Feature branch review</x:v>
      </x:c>
      <x:c r="B7" s="96" t="n">
        <x:f>COUNTIF('Feature Tracker'!$F$5:$F$215,"Complete on Feature Branch - Awaiting Review")</x:f>
        <x:v>0</x:v>
      </x:c>
      <x:c r="C7" s="88"/>
      <x:c r="D7" s="97" t="str">
        <x:v>Google auth</x:v>
      </x:c>
      <x:c r="E7" s="98" t="str">
        <x:v>Passed</x:v>
      </x:c>
      <x:c r="F7" s="99" t="str">
        <x:v>Local signup/checks pass; live provider review open</x:v>
      </x:c>
      <x:c r="G7" s="97" t="str">
        <x:v>Current PR / CI</x:v>
      </x:c>
      <x:c r="H7" s="98" t="str">
        <x:v>New candidate CI and independent exact-head review pending.</x:v>
      </x:c>
      <x:c r="I7" s="98"/>
      <x:c r="J7" s="99"/>
    </x:row>
    <x:row r="8" ht="26.399999618530273" hidden="0" customHeight="1">
      <x:c r="A8" s="95" t="str">
        <x:v>Partial / configuration</x:v>
      </x:c>
      <x:c r="B8" s="96" t="n">
        <x:f>COUNTIF('Feature Tracker'!$F$5:$F$215,"Partially Implemented")+COUNTIF('Feature Tracker'!$F$5:$F$215,"Data Layer Only")+COUNTIF('Feature Tracker'!$F$5:$F$215,"Launch Configuration Pending")</x:f>
        <x:v>34</x:v>
      </x:c>
      <x:c r="C8" s="88"/>
      <x:c r="D8" s="97" t="str">
        <x:v>Production build</x:v>
      </x:c>
      <x:c r="E8" s="98" t="str">
        <x:v>Passed</x:v>
      </x:c>
      <x:c r="F8" s="99" t="str">
        <x:v>Prehosting production build passed; maximum JS 128 KB</x:v>
      </x:c>
      <x:c r="G8" s="97" t="str">
        <x:v>Next functionality</x:v>
      </x:c>
      <x:c r="H8" s="98" t="str">
        <x:v>Hosting, production DB/backups, live providers, real-device and production acceptance</x:v>
      </x:c>
      <x:c r="I8" s="98"/>
      <x:c r="J8" s="99"/>
    </x:row>
    <x:row r="9" ht="26.399999618530273" hidden="0" customHeight="1">
      <x:c r="A9" s="95" t="str">
        <x:v>Requires correction</x:v>
      </x:c>
      <x:c r="B9" s="96" t="n">
        <x:f>COUNTIF('Feature Tracker'!$F$5:$F$215,"Requires Correction")</x:f>
        <x:v>0</x:v>
      </x:c>
      <x:c r="C9" s="88"/>
      <x:c r="D9" s="97" t="str">
        <x:v>Database acceptance</x:v>
      </x:c>
      <x:c r="E9" s="98" t="str">
        <x:v>Local passed</x:v>
      </x:c>
      <x:c r="F9" s="99" t="str">
        <x:v>22 isolated DB tests passed; live acceptance open</x:v>
      </x:c>
      <x:c r="G9" s="97" t="str">
        <x:v>Browser QA</x:v>
      </x:c>
      <x:c r="H9" s="98" t="str">
        <x:v>Local: 22 DB, 101 routes, 179 browser pass/1 planned skip, including 3 WebKit and recovery cases.</x:v>
      </x:c>
      <x:c r="I9" s="98"/>
      <x:c r="J9" s="99"/>
    </x:row>
    <x:row r="10" ht="39.599998474121094" hidden="0" customHeight="1">
      <x:c r="A10" s="95" t="str">
        <x:v>Pending</x:v>
      </x:c>
      <x:c r="B10" s="96" t="n">
        <x:f>COUNTIF('Feature Tracker'!$F$5:$F$215,"Pending")</x:f>
        <x:v>7</x:v>
      </x:c>
      <x:c r="C10" s="88"/>
      <x:c r="D10" s="97" t="str">
        <x:v>Responsive/branding</x:v>
      </x:c>
      <x:c r="E10" s="98" t="str">
        <x:v>Partial pass</x:v>
      </x:c>
      <x:c r="F10" s="99" t="str">
        <x:v>Owner homepage review + automated axe/viewport; manual review open</x:v>
      </x:c>
      <x:c r="G10" s="97" t="str">
        <x:v>Google Maps</x:v>
      </x:c>
      <x:c r="H10" s="98" t="str">
        <x:v>Code configured; live test blocked by billing</x:v>
      </x:c>
      <x:c r="I10" s="98"/>
      <x:c r="J10" s="99"/>
    </x:row>
    <x:row r="11" ht="26.399999618530273" hidden="0" customHeight="1">
      <x:c r="A11" s="100" t="str">
        <x:v>Overall completion</x:v>
      </x:c>
      <x:c r="B11" s="142" t="n">
        <x:f>SUMIFS('Feature Tracker'!$G$5:$G$215,'Feature Tracker'!$E$5:$E$215,"&lt;&gt;Excluded / Change Request",'Feature Tracker'!$F$5:$F$215,"&lt;&gt;Out of Scope / Removed")/B5</x:f>
        <x:v>0.9415075376884421</x:v>
      </x:c>
      <x:c r="C11" s="88"/>
      <x:c r="D11" s="102" t="str">
        <x:v>Security/load</x:v>
      </x:c>
      <x:c r="E11" s="103" t="str">
        <x:v>Partial pass</x:v>
      </x:c>
      <x:c r="F11" s="104" t="str">
        <x:v>Local checks passed; deployed security/load assessment open</x:v>
      </x:c>
      <x:c r="G11" s="102" t="str">
        <x:v>Final QA blocker</x:v>
      </x:c>
      <x:c r="H11" s="103" t="str">
        <x:v>New-head CI/review; deployed provider, proxy, device, backup and load acceptance</x:v>
      </x:c>
      <x:c r="I11" s="103"/>
      <x:c r="J11" s="104"/>
    </x:row>
    <x:row r="12">
      <x:c r="A12" s="88"/>
      <x:c r="B12" s="88"/>
      <x:c r="C12" s="88"/>
      <x:c r="D12" s="88"/>
      <x:c r="E12" s="88"/>
      <x:c r="F12" s="88"/>
      <x:c r="G12" s="88"/>
      <x:c r="H12" s="88"/>
      <x:c r="I12" s="88"/>
      <x:c r="J12" s="88"/>
    </x:row>
    <x:row r="13">
      <x:c r="A13" s="88"/>
      <x:c r="B13" s="88"/>
      <x:c r="C13" s="88"/>
      <x:c r="D13" s="88"/>
      <x:c r="E13" s="88"/>
      <x:c r="F13" s="88"/>
      <x:c r="G13" s="88"/>
      <x:c r="H13" s="88"/>
      <x:c r="I13" s="88"/>
      <x:c r="J13" s="88"/>
    </x:row>
    <x:row r="14">
      <x:c r="A14" s="105" t="str">
        <x:v>Status</x:v>
      </x:c>
      <x:c r="B14" s="105" t="str">
        <x:v>Count</x:v>
      </x:c>
      <x:c r="C14" s="105" t="str">
        <x:v>Meaning</x:v>
      </x:c>
      <x:c r="D14" s="88"/>
      <x:c r="E14" s="88"/>
      <x:c r="F14" s="88"/>
      <x:c r="G14" s="88"/>
      <x:c r="H14" s="88"/>
      <x:c r="I14" s="88"/>
      <x:c r="J14" s="88"/>
    </x:row>
    <x:row r="15">
      <x:c r="A15" s="104" t="str">
        <x:v>Completed</x:v>
      </x:c>
      <x:c r="B15" s="106" t="n">
        <x:f>COUNTIF('Feature Tracker'!$F$5:$F$215,"Completed")</x:f>
        <x:v>158</x:v>
      </x:c>
      <x:c r="C15" s="107" t="str">
        <x:v>Implemented and available in current code; does not mean production launch approval</x:v>
      </x:c>
      <x:c r="D15" s="88"/>
      <x:c r="E15" s="88"/>
      <x:c r="F15" s="88"/>
      <x:c r="G15" s="88"/>
      <x:c r="H15" s="88"/>
      <x:c r="I15" s="88"/>
      <x:c r="J15" s="88"/>
    </x:row>
    <x:row r="16">
      <x:c r="A16" s="108" t="str">
        <x:v>Branch review</x:v>
      </x:c>
      <x:c r="B16" s="109" t="n">
        <x:f>COUNTIF('Feature Tracker'!$F$5:$F$215,"Complete on Feature Branch - Awaiting Review")</x:f>
        <x:v>0</x:v>
      </x:c>
      <x:c r="C16" s="110" t="str">
        <x:v>Implementation verified on feature branch; PR review/merge outstanding</x:v>
      </x:c>
      <x:c r="D16" s="88"/>
      <x:c r="E16" s="88"/>
      <x:c r="F16" s="88"/>
      <x:c r="G16" s="88"/>
      <x:c r="H16" s="88"/>
      <x:c r="I16" s="88"/>
      <x:c r="J16" s="88"/>
    </x:row>
    <x:row r="17">
      <x:c r="A17" s="108" t="str">
        <x:v>Partial/Data</x:v>
      </x:c>
      <x:c r="B17" s="109" t="n">
        <x:f>COUNTIF('Feature Tracker'!$F$5:$F$215,"Partially Implemented")+COUNTIF('Feature Tracker'!$F$5:$F$215,"Data Layer Only")+COUNTIF('Feature Tracker'!$F$5:$F$215,"Launch Configuration Pending")</x:f>
        <x:v>34</x:v>
      </x:c>
      <x:c r="C17" s="110" t="str">
        <x:v>Partly implemented or awaiting configuration/acceptance</x:v>
      </x:c>
      <x:c r="D17" s="88"/>
      <x:c r="E17" s="88"/>
      <x:c r="F17" s="88"/>
      <x:c r="G17" s="88"/>
      <x:c r="H17" s="88"/>
      <x:c r="I17" s="88"/>
      <x:c r="J17" s="88"/>
    </x:row>
    <x:row r="18">
      <x:c r="A18" s="108" t="str">
        <x:v>Correction</x:v>
      </x:c>
      <x:c r="B18" s="109" t="n">
        <x:f>COUNTIF('Feature Tracker'!$F$5:$F$215,"Requires Correction")</x:f>
        <x:v>0</x:v>
      </x:c>
      <x:c r="C18" s="110" t="str">
        <x:v>Implemented behavior is wrong or unsafe</x:v>
      </x:c>
      <x:c r="D18" s="88"/>
      <x:c r="E18" s="88"/>
      <x:c r="F18" s="88"/>
      <x:c r="G18" s="88"/>
      <x:c r="H18" s="88"/>
      <x:c r="I18" s="88"/>
      <x:c r="J18" s="88"/>
    </x:row>
    <x:row r="19">
      <x:c r="A19" s="108" t="str">
        <x:v>Pending</x:v>
      </x:c>
      <x:c r="B19" s="109" t="n">
        <x:f>COUNTIF('Feature Tracker'!$F$5:$F$215,"Pending")</x:f>
        <x:v>7</x:v>
      </x:c>
      <x:c r="C19" s="110" t="str">
        <x:v>No implemented delivery for this feature; see row-specific prerequisites</x:v>
      </x:c>
      <x:c r="D19" s="88"/>
      <x:c r="E19" s="88"/>
      <x:c r="F19" s="88"/>
      <x:c r="G19" s="88"/>
      <x:c r="H19" s="88"/>
      <x:c r="I19" s="88"/>
      <x:c r="J19" s="88"/>
    </x:row>
    <x:row r="20">
      <x:c r="A20" s="94" t="str">
        <x:v>Excluded</x:v>
      </x:c>
      <x:c r="B20" s="111" t="n">
        <x:f>COUNTIF('Feature Tracker'!$F$5:$F$215,"Out of Scope / Removed")</x:f>
        <x:v>12</x:v>
      </x:c>
      <x:c r="C20" s="112" t="str">
        <x:v>Deliberately removed; do not build without signed change</x:v>
      </x:c>
      <x:c r="D20" s="88"/>
      <x:c r="E20" s="88"/>
      <x:c r="F20" s="88"/>
      <x:c r="G20" s="88"/>
      <x:c r="H20" s="88"/>
      <x:c r="I20" s="88"/>
      <x:c r="J20" s="88"/>
    </x:row>
    <x:row r="21">
      <x:c r="A21" s="88"/>
      <x:c r="B21" s="88"/>
      <x:c r="C21" s="88"/>
      <x:c r="D21" s="88"/>
      <x:c r="E21" s="88"/>
      <x:c r="F21" s="88"/>
      <x:c r="G21" s="88"/>
      <x:c r="H21" s="88"/>
      <x:c r="I21" s="88"/>
      <x:c r="J21" s="88"/>
    </x:row>
    <x:row r="22">
      <x:c r="A22" s="88"/>
      <x:c r="B22" s="88"/>
      <x:c r="C22" s="88"/>
      <x:c r="D22" s="88"/>
      <x:c r="E22" s="88"/>
      <x:c r="F22" s="88"/>
      <x:c r="G22" s="88"/>
      <x:c r="H22" s="88"/>
      <x:c r="I22" s="88"/>
      <x:c r="J22" s="88"/>
    </x:row>
    <x:row r="23">
      <x:c r="A23" s="113" t="str">
        <x:v>Recommended next sequence</x:v>
      </x:c>
      <x:c r="B23" s="113"/>
      <x:c r="C23" s="113"/>
      <x:c r="D23" s="88"/>
      <x:c r="E23" s="88"/>
      <x:c r="F23" s="88"/>
      <x:c r="G23" s="88"/>
      <x:c r="H23" s="88"/>
      <x:c r="I23" s="88"/>
      <x:c r="J23" s="88"/>
    </x:row>
    <x:row r="24">
      <x:c r="A24" s="114" t="n">
        <x:v>1</x:v>
      </x:c>
      <x:c r="B24" s="115" t="str">
        <x:v>Homepage review and merge - completed</x:v>
      </x:c>
      <x:c r="C24" s="107" t="str">
        <x:v>PR #5 reviewed and merged into main on 30 Sep 2026 (merge c1ef18d).</x:v>
      </x:c>
      <x:c r="D24" s="88"/>
      <x:c r="E24" s="88"/>
      <x:c r="F24" s="88"/>
      <x:c r="G24" s="88"/>
      <x:c r="H24" s="88"/>
      <x:c r="I24" s="88"/>
      <x:c r="J24" s="88"/>
    </x:row>
    <x:row r="25">
      <x:c r="A25" s="116" t="n">
        <x:v>2</x:v>
      </x:c>
      <x:c r="B25" s="117" t="str">
        <x:v>Stage 6.2 CI and acceptance - in progress</x:v>
      </x:c>
      <x:c r="C25" s="110" t="str">
        <x:v>13 October: PR #7 merged. Prehosting branch hardens upload body limits, proxy IP trust, anonymous report identity and retention ledger clock. Fresh local check/lint/build, 22 DB, 101 routes, 179 browser pass/1 planned skip; local WebKit default-motion navigation passes. Local 100-request read smoke has zero errors; 20,000-listing query sample rolled back. Production audit zero; ten dev-tool advisories. Candidate CI/review and deployed provider, proxy, device, backup and 500-user load gates remain open. See docs/PREHOSTING_ACCEPTANCE.md.</x:v>
      </x:c>
      <x:c r="D25" s="88"/>
      <x:c r="E25" s="88"/>
      <x:c r="F25" s="88"/>
      <x:c r="G25" s="88"/>
      <x:c r="H25" s="88"/>
      <x:c r="I25" s="88"/>
      <x:c r="J25" s="88"/>
    </x:row>
    <x:row r="26">
      <x:c r="A26" s="116" t="n">
        <x:v>3</x:v>
      </x:c>
      <x:c r="B26" s="117" t="str">
        <x:v>Persistent staging and monitoring</x:v>
      </x:c>
      <x:c r="C26" s="110" t="str">
        <x:v>Configure hosted preview with separate DB/media, require passing PR check, and enable external alerts.</x:v>
      </x:c>
      <x:c r="D26" s="88"/>
      <x:c r="E26" s="88"/>
      <x:c r="F26" s="88"/>
      <x:c r="G26" s="88"/>
      <x:c r="H26" s="88"/>
      <x:c r="I26" s="88"/>
      <x:c r="J26" s="88"/>
    </x:row>
    <x:row r="27">
      <x:c r="A27" s="116" t="n">
        <x:v>4</x:v>
      </x:c>
      <x:c r="B27" s="117" t="str">
        <x:v>Complete remaining launch acceptance</x:v>
      </x:c>
      <x:c r="C27" s="110" t="str">
        <x:v>Application work completed where access permits. Owner steps and handoff are in docs/OWNER_LAUNCH_ACTIONS.md: hosting/DB/DNS, Cloudflare/Resend, enabled Google configuration, backups/ledger/monitoring, independent PR review and protected main, actual devices and representative 500-user staging load. A/B1 remain approved.</x:v>
      </x:c>
      <x:c r="D27" s="88"/>
      <x:c r="E27" s="88"/>
      <x:c r="F27" s="88"/>
      <x:c r="G27" s="88"/>
      <x:c r="H27" s="88"/>
      <x:c r="I27" s="88"/>
      <x:c r="J27" s="88"/>
    </x:row>
    <x:row r="28">
      <x:c r="A28" s="116" t="n">
        <x:v>5</x:v>
      </x:c>
      <x:c r="B28" s="117" t="str">
        <x:v>Stage 6.3 production readiness</x:v>
      </x:c>
      <x:c r="C28" s="110" t="str">
        <x:v>Configure hosting, DB, media, backups, logs, cron, domain and hardening.</x:v>
      </x:c>
      <x:c r="D28" s="88"/>
      <x:c r="E28" s="88"/>
      <x:c r="F28" s="88"/>
      <x:c r="G28" s="88"/>
      <x:c r="H28" s="88"/>
      <x:c r="I28" s="88"/>
      <x:c r="J28" s="88"/>
    </x:row>
    <x:row r="29">
      <x:c r="A29" s="116" t="n">
        <x:v>6</x:v>
      </x:c>
      <x:c r="B29" s="117" t="str">
        <x:v>Final branding/responsive QA</x:v>
      </x:c>
      <x:c r="C29" s="110" t="str">
        <x:v>Review production branding and comprehensive desktop/tablet/mobile behavior.</x:v>
      </x:c>
      <x:c r="D29" s="88"/>
      <x:c r="E29" s="88"/>
      <x:c r="F29" s="88"/>
      <x:c r="G29" s="88"/>
      <x:c r="H29" s="88"/>
      <x:c r="I29" s="88"/>
      <x:c r="J29" s="88"/>
    </x:row>
    <x:row r="30">
      <x:c r="A30" s="116" t="n">
        <x:v>7</x:v>
      </x:c>
      <x:c r="B30" s="117" t="str">
        <x:v>Final browser acceptance</x:v>
      </x:c>
      <x:c r="C30" s="110" t="str">
        <x:v>Complete remaining negative/failure cases and live provider/real-device journeys using the regression checklist. Core local browser suite already passes.</x:v>
      </x:c>
      <x:c r="D30" s="88"/>
      <x:c r="E30" s="88"/>
      <x:c r="F30" s="88"/>
      <x:c r="G30" s="88"/>
      <x:c r="H30" s="88"/>
      <x:c r="I30" s="88"/>
      <x:c r="J30" s="88"/>
    </x:row>
    <x:row r="31">
      <x:c r="A31" s="118" t="n">
        <x:v>8</x:v>
      </x:c>
      <x:c r="B31" s="119" t="str">
        <x:v>Preserve signed V1 scope</x:v>
      </x:c>
      <x:c r="C31" s="112" t="str">
        <x:v>Payments, featured ads, financing, subscriptions, commerce, SMS OTP and workforce tooling remain excluded.</x:v>
      </x:c>
      <x:c r="D31" s="88"/>
      <x:c r="E31" s="88"/>
      <x:c r="F31" s="88"/>
      <x:c r="G31" s="88"/>
      <x:c r="H31" s="88"/>
      <x:c r="I31" s="88"/>
      <x:c r="J31" s="88"/>
    </x:row>
  </x:sheetData>
  <x:mergeCells>
    <x:mergeCell ref="A1:J1"/>
    <x:mergeCell ref="A2:J2"/>
    <x:mergeCell ref="A4:C4"/>
    <x:mergeCell ref="D4:F4"/>
    <x:mergeCell ref="G4:J4"/>
    <x:mergeCell ref="H5:J5"/>
    <x:mergeCell ref="H6:J6"/>
    <x:mergeCell ref="H7:J7"/>
    <x:mergeCell ref="H8:J8"/>
    <x:mergeCell ref="H9:J9"/>
    <x:mergeCell ref="H10:J10"/>
    <x:mergeCell ref="H11:J11"/>
    <x:mergeCell ref="A23:C23"/>
  </x:mergeCells>
  <x:pageMargins left="0.7" right="0.7" top="0.75" bottom="0.75" header="0.3" footer="0.3"/>
  <x:drawing xmlns:r="http://schemas.openxmlformats.org/officeDocument/2006/relationships" r:id="R6d2cc5c586e54cc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4" customHeight="1">
      <x:c r="A1" s="120" t="str">
        <x:v>JaniWheels Development Governance &amp; Source of Truth</x:v>
      </x:c>
      <x:c r="B1" s="120"/>
      <x:c r="C1" s="120"/>
      <x:c r="D1" s="120"/>
      <x:c r="E1" s="120"/>
      <x:c r="F1" s="120"/>
    </x:row>
    <x:row r="2" ht="34" customHeight="1">
      <x:c r="A2" s="121" t="str">
        <x:v>This workbook is the master development tracker. Work on one roadmap package at a time and update this same file after each verified milestone.</x:v>
      </x:c>
      <x:c r="B2" s="121"/>
      <x:c r="C2" s="121"/>
      <x:c r="D2" s="121"/>
      <x:c r="E2" s="121"/>
      <x:c r="F2" s="121"/>
    </x:row>
    <x:row r="3">
      <x:c r="A3" s="88"/>
      <x:c r="B3" s="88"/>
      <x:c r="C3" s="88"/>
      <x:c r="D3" s="88"/>
      <x:c r="E3" s="88"/>
      <x:c r="F3" s="88"/>
    </x:row>
    <x:row r="4">
      <x:c r="A4" s="122" t="str">
        <x:v>MASTER SOURCE</x:v>
      </x:c>
      <x:c r="B4" s="122"/>
      <x:c r="C4" s="122"/>
      <x:c r="D4" s="122"/>
      <x:c r="E4" s="122"/>
      <x:c r="F4" s="122"/>
    </x:row>
    <x:row r="5" ht="25" customHeight="1">
      <x:c r="A5" s="123" t="str">
        <x:v>File</x:v>
      </x:c>
      <x:c r="B5" s="124" t="str">
        <x:v>JaniWheels_Complete_Feature_Development_Tracker.xlsx</x:v>
      </x:c>
      <x:c r="C5" s="124"/>
      <x:c r="D5" s="124"/>
      <x:c r="E5" s="124"/>
      <x:c r="F5" s="125"/>
    </x:row>
    <x:row r="6" ht="25" customHeight="1">
      <x:c r="A6" s="126" t="str">
        <x:v>Persistent path</x:v>
      </x:c>
      <x:c r="B6" s="127" t="str">
        <x:v>docs/JaniWheels_Complete_Feature_Development_Tracker.xlsx</x:v>
      </x:c>
      <x:c r="C6" s="127"/>
      <x:c r="D6" s="127"/>
      <x:c r="E6" s="127"/>
      <x:c r="F6" s="128"/>
    </x:row>
    <x:row r="7" ht="25" customHeight="1">
      <x:c r="A7" s="126" t="str">
        <x:v>Active package</x:v>
      </x:c>
      <x:c r="B7" s="127" t="str">
        <x:v>Stage 6.2 local test backlog covered on codex/local-acceptance-backlog; external deployment team owns hosting, providers, DNS and live acceptance per docs/DEPLOYMENT_HANDOFF.md</x:v>
      </x:c>
      <x:c r="C7" s="127"/>
      <x:c r="D7" s="127"/>
      <x:c r="E7" s="127"/>
      <x:c r="F7" s="128"/>
    </x:row>
    <x:row r="8" ht="25" customHeight="1">
      <x:c r="A8" s="126" t="str">
        <x:v>Current branch</x:v>
      </x:c>
      <x:c r="B8" s="127" t="str">
        <x:v>codex/local-acceptance-backlog (pushed; PR #7 open)</x:v>
      </x:c>
      <x:c r="C8" s="127"/>
      <x:c r="D8" s="127"/>
      <x:c r="E8" s="127"/>
      <x:c r="F8" s="128"/>
    </x:row>
    <x:row r="9" ht="25" customHeight="1">
      <x:c r="A9" s="129" t="str">
        <x:v>Current checkpoint</x:v>
      </x:c>
      <x:c r="B9" s="130" t="str">
        <x:v>13 October prehosting candidate: PR #7 merged; local upload/proxy/report/retention hardening verified. Fresh 22 DB, 101 routes, 179 browser pass/1 skip, check/lint/build, local read smoke and 20,000-listing query sample. Production npm audit zero; ten dev-tool advisories. Independent new-head review and all deployment/provider/real-device/capacity gates remain open. See docs/PREHOSTING_ACCEPTANCE.md.</x:v>
      </x:c>
      <x:c r="C9" s="130"/>
      <x:c r="D9" s="130"/>
      <x:c r="E9" s="130"/>
      <x:c r="F9" s="131"/>
    </x:row>
    <x:row r="10">
      <x:c r="A10" s="88"/>
      <x:c r="B10" s="88"/>
      <x:c r="C10" s="88"/>
      <x:c r="D10" s="88"/>
      <x:c r="E10" s="88"/>
      <x:c r="F10" s="88"/>
    </x:row>
    <x:row r="11">
      <x:c r="A11" s="122" t="str">
        <x:v>STRICT SCOPE RULE</x:v>
      </x:c>
      <x:c r="B11" s="122"/>
      <x:c r="C11" s="122"/>
      <x:c r="D11" s="122"/>
      <x:c r="E11" s="122"/>
      <x:c r="F11" s="122"/>
    </x:row>
    <x:row r="12" ht="32" customHeight="1">
      <x:c r="A12" s="123" t="str">
        <x:v>1</x:v>
      </x:c>
      <x:c r="B12" s="124" t="str">
        <x:v>Work only on the active package shown in the Development Roadmap.</x:v>
      </x:c>
      <x:c r="C12" s="124"/>
      <x:c r="D12" s="124"/>
      <x:c r="E12" s="124"/>
      <x:c r="F12" s="125"/>
    </x:row>
    <x:row r="13" ht="32" customHeight="1">
      <x:c r="A13" s="126" t="str">
        <x:v>2</x:v>
      </x:c>
      <x:c r="B13" s="127" t="str">
        <x:v>If a request is outside the active package, identify its tracker ID/stage and explicitly flag it as outside the current sequence.</x:v>
      </x:c>
      <x:c r="C13" s="127"/>
      <x:c r="D13" s="127"/>
      <x:c r="E13" s="127"/>
      <x:c r="F13" s="128"/>
    </x:row>
    <x:row r="14" ht="32" customHeight="1">
      <x:c r="A14" s="126" t="str">
        <x:v>3</x:v>
      </x:c>
      <x:c r="B14" s="127" t="str">
        <x:v>Do not execute outside-sequence work unless the user explicitly confirms an override or resequencing.</x:v>
      </x:c>
      <x:c r="C14" s="127"/>
      <x:c r="D14" s="127"/>
      <x:c r="E14" s="127"/>
      <x:c r="F14" s="128"/>
    </x:row>
    <x:row r="15" ht="32" customHeight="1">
      <x:c r="A15" s="126" t="str">
        <x:v>4</x:v>
      </x:c>
      <x:c r="B15" s="127" t="str">
        <x:v>Handle a technical dependency only when it is necessary for the active package, and record it in Evidence / Current State.</x:v>
      </x:c>
      <x:c r="C15" s="127"/>
      <x:c r="D15" s="127"/>
      <x:c r="E15" s="127"/>
      <x:c r="F15" s="128"/>
    </x:row>
    <x:row r="16" ht="32" customHeight="1">
      <x:c r="A16" s="129" t="str">
        <x:v>5</x:v>
      </x:c>
      <x:c r="B16" s="130" t="str">
        <x:v>Never add excluded functionality unless a formal, explicitly confirmed scope change is recorded.</x:v>
      </x:c>
      <x:c r="C16" s="130"/>
      <x:c r="D16" s="130"/>
      <x:c r="E16" s="130"/>
      <x:c r="F16" s="131"/>
    </x:row>
    <x:row r="17">
      <x:c r="A17" s="88"/>
      <x:c r="B17" s="88"/>
      <x:c r="C17" s="88"/>
      <x:c r="D17" s="88"/>
      <x:c r="E17" s="88"/>
      <x:c r="F17" s="88"/>
    </x:row>
    <x:row r="18">
      <x:c r="A18" s="122" t="str">
        <x:v>COMPLETION GATE</x:v>
      </x:c>
      <x:c r="B18" s="122"/>
      <x:c r="C18" s="122"/>
      <x:c r="D18" s="122"/>
      <x:c r="E18" s="122"/>
      <x:c r="F18" s="122"/>
    </x:row>
    <x:row r="19" ht="32" customHeight="1">
      <x:c r="A19" s="123" t="str">
        <x:v>1</x:v>
      </x:c>
      <x:c r="B19" s="124" t="str">
        <x:v>Implementation satisfies the feature acceptance criteria.</x:v>
      </x:c>
      <x:c r="C19" s="124"/>
      <x:c r="D19" s="124"/>
      <x:c r="E19" s="124"/>
      <x:c r="F19" s="125"/>
    </x:row>
    <x:row r="20" ht="32" customHeight="1">
      <x:c r="A20" s="126" t="str">
        <x:v>2</x:v>
      </x:c>
      <x:c r="B20" s="127" t="str">
        <x:v>Applicable typecheck, lint, automated tests and production build checks pass.</x:v>
      </x:c>
      <x:c r="C20" s="127"/>
      <x:c r="D20" s="127"/>
      <x:c r="E20" s="127"/>
      <x:c r="F20" s="128"/>
    </x:row>
    <x:row r="21" ht="32" customHeight="1">
      <x:c r="A21" s="126" t="str">
        <x:v>3</x:v>
      </x:c>
      <x:c r="B21" s="127" t="str">
        <x:v>Functional, validation, authorization, responsive and error-state checks are completed as applicable.</x:v>
      </x:c>
      <x:c r="C21" s="127"/>
      <x:c r="D21" s="127"/>
      <x:c r="E21" s="127"/>
      <x:c r="F21" s="128"/>
    </x:row>
    <x:row r="22" ht="32" customHeight="1">
      <x:c r="A22" s="126" t="str">
        <x:v>4</x:v>
      </x:c>
      <x:c r="B22" s="127" t="str">
        <x:v>Verified development is committed, pushed on a feature branch, and recorded in this tracker without recurring approval requests; main-branch merge still follows review and approval.</x:v>
      </x:c>
      <x:c r="C22" s="127"/>
      <x:c r="D22" s="127"/>
      <x:c r="E22" s="127"/>
      <x:c r="F22" s="128"/>
    </x:row>
    <x:row r="23" ht="32" customHeight="1">
      <x:c r="A23" s="126" t="str">
        <x:v>5</x:v>
      </x:c>
      <x:c r="B23" s="127" t="str">
        <x:v>User completes local review and gives explicit approval before merge.</x:v>
      </x:c>
      <x:c r="C23" s="127"/>
      <x:c r="D23" s="127"/>
      <x:c r="E23" s="127"/>
      <x:c r="F23" s="128"/>
    </x:row>
    <x:row r="24" ht="32" customHeight="1">
      <x:c r="A24" s="129" t="str">
        <x:v>6</x:v>
      </x:c>
      <x:c r="B24" s="130" t="str">
        <x:v>Changes are merged to main only after approval; tracker, roadmap and test evidence are updated.</x:v>
      </x:c>
      <x:c r="C24" s="130"/>
      <x:c r="D24" s="130"/>
      <x:c r="E24" s="130"/>
      <x:c r="F24" s="131"/>
    </x:row>
    <x:row r="25">
      <x:c r="A25" s="88"/>
      <x:c r="B25" s="88"/>
      <x:c r="C25" s="88"/>
      <x:c r="D25" s="88"/>
      <x:c r="E25" s="88"/>
      <x:c r="F25" s="88"/>
    </x:row>
    <x:row r="26">
      <x:c r="A26" s="122" t="str">
        <x:v>TRACKER UPDATE PROTOCOL</x:v>
      </x:c>
      <x:c r="B26" s="122"/>
      <x:c r="C26" s="122"/>
      <x:c r="D26" s="122"/>
      <x:c r="E26" s="122"/>
      <x:c r="F26" s="122"/>
    </x:row>
    <x:row r="27" ht="32" customHeight="1">
      <x:c r="A27" s="123" t="str">
        <x:v>1</x:v>
      </x:c>
      <x:c r="B27" s="124" t="str">
        <x:v>Review Status, Completion estimate, Evidence, Next Action and Owner after every verified package. Estimates reflect feature acceptance, not commit/test counts or elapsed effort. Dashboard uses an equal-weight average excluding removed scope.</x:v>
      </x:c>
      <x:c r="C27" s="124"/>
      <x:c r="D27" s="124"/>
      <x:c r="E27" s="124"/>
      <x:c r="F27" s="125"/>
    </x:row>
    <x:row r="28" ht="32" customHeight="1">
      <x:c r="A28" s="126" t="str">
        <x:v>2</x:v>
      </x:c>
      <x:c r="B28" s="127" t="str">
        <x:v>Update the Dashboard, Development Roadmap and Test Matrix when their state or evidence changes.</x:v>
      </x:c>
      <x:c r="C28" s="127"/>
      <x:c r="D28" s="127"/>
      <x:c r="E28" s="127"/>
      <x:c r="F28" s="128"/>
    </x:row>
    <x:row r="29" ht="32" customHeight="1">
      <x:c r="A29" s="126" t="str">
        <x:v>3</x:v>
      </x:c>
      <x:c r="B29" s="127" t="str">
        <x:v>Record the branch, commit, pull request and test results in Evidence / Current State.</x:v>
      </x:c>
      <x:c r="C29" s="127"/>
      <x:c r="D29" s="127"/>
      <x:c r="E29" s="127"/>
      <x:c r="F29" s="128"/>
    </x:row>
    <x:row r="30" ht="32" customHeight="1">
      <x:c r="A30" s="129" t="str">
        <x:v>4</x:v>
      </x:c>
      <x:c r="B30" s="130" t="str">
        <x:v>Replace this same master file/version; do not create disconnected 'latest' copies.</x:v>
      </x:c>
      <x:c r="C30" s="130"/>
      <x:c r="D30" s="130"/>
      <x:c r="E30" s="130"/>
      <x:c r="F30" s="131"/>
    </x:row>
    <x:row r="31">
      <x:c r="A31" s="88"/>
      <x:c r="B31" s="88"/>
      <x:c r="C31" s="88"/>
      <x:c r="D31" s="88"/>
      <x:c r="E31" s="88"/>
      <x:c r="F31" s="88"/>
    </x:row>
    <x:row r="32">
      <x:c r="A32" s="122" t="str">
        <x:v>EASY ACCESS — NO DOWNLOAD REQUIRED</x:v>
      </x:c>
      <x:c r="B32" s="122"/>
      <x:c r="C32" s="122"/>
      <x:c r="D32" s="122"/>
      <x:c r="E32" s="122"/>
      <x:c r="F32" s="122"/>
    </x:row>
    <x:row r="33" ht="32" customHeight="1">
      <x:c r="A33" s="123" t="str">
        <x:v>Project access</x:v>
      </x:c>
      <x:c r="B33" s="124" t="str">
        <x:v>Add this Library file to the JaniWheels Project Sources once so every chat in the project can use it.</x:v>
      </x:c>
      <x:c r="C33" s="124"/>
      <x:c r="D33" s="124"/>
      <x:c r="E33" s="124"/>
      <x:c r="F33" s="125"/>
    </x:row>
    <x:row r="34" ht="32" customHeight="1">
      <x:c r="A34" s="126" t="str">
        <x:v>Visual review</x:v>
      </x:c>
      <x:c r="B34" s="127" t="str">
        <x:v>Open the workbook from Project Sources or Library to use the in-app preview.</x:v>
      </x:c>
      <x:c r="C34" s="127"/>
      <x:c r="D34" s="127"/>
      <x:c r="E34" s="127"/>
      <x:c r="F34" s="128"/>
    </x:row>
    <x:row r="35" ht="32" customHeight="1">
      <x:c r="A35" s="126" t="str">
        <x:v>Chat prompts</x:v>
      </x:c>
      <x:c r="B35" s="127" t="str">
        <x:v>Ask: 'Show the current JaniWheels tracker dashboard' or 'What is the active work package?'</x:v>
      </x:c>
      <x:c r="C35" s="127"/>
      <x:c r="D35" s="127"/>
      <x:c r="E35" s="127"/>
      <x:c r="F35" s="128"/>
    </x:row>
    <x:row r="36" ht="32" customHeight="1">
      <x:c r="A36" s="129" t="str">
        <x:v>Latest master</x:v>
      </x:c>
      <x:c r="B36" s="130" t="str">
        <x:v>Maintain the repository master at docs/JaniWheels_Complete_Feature_Development_Tracker.xlsx. Older exported/Library copies may be stale; no automatic Library synchronization is claimed.</x:v>
      </x:c>
      <x:c r="C36" s="130"/>
      <x:c r="D36" s="130"/>
      <x:c r="E36" s="130"/>
      <x:c r="F36" s="131"/>
    </x:row>
  </x:sheetData>
  <x:mergeCells>
    <x:mergeCell ref="A1:F1"/>
    <x:mergeCell ref="A2:F2"/>
    <x:mergeCell ref="A4:F4"/>
    <x:mergeCell ref="B5:F5"/>
    <x:mergeCell ref="B6:F6"/>
    <x:mergeCell ref="B7:F7"/>
    <x:mergeCell ref="B8:F8"/>
    <x:mergeCell ref="B9:F9"/>
    <x:mergeCell ref="A11:F11"/>
    <x:mergeCell ref="B12:F12"/>
    <x:mergeCell ref="B13:F13"/>
    <x:mergeCell ref="B14:F14"/>
    <x:mergeCell ref="B15:F15"/>
    <x:mergeCell ref="B16:F16"/>
    <x:mergeCell ref="A18:F18"/>
    <x:mergeCell ref="B19:F19"/>
    <x:mergeCell ref="B20:F20"/>
    <x:mergeCell ref="B21:F21"/>
    <x:mergeCell ref="B22:F22"/>
    <x:mergeCell ref="B23:F23"/>
    <x:mergeCell ref="B24:F24"/>
    <x:mergeCell ref="A26:F26"/>
    <x:mergeCell ref="B27:F27"/>
    <x:mergeCell ref="B28:F28"/>
    <x:mergeCell ref="B29:F29"/>
    <x:mergeCell ref="B30:F30"/>
    <x:mergeCell ref="A32:F32"/>
    <x:mergeCell ref="B33:F33"/>
    <x:mergeCell ref="B34:F34"/>
    <x:mergeCell ref="B35:F35"/>
    <x:mergeCell ref="B36:F3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29" hidden="0" customWidth="1"/>
    <x:col min="4" max="4" width="44" hidden="0" customWidth="1"/>
    <x:col min="5" max="5" width="22" hidden="0" customWidth="1"/>
    <x:col min="6" max="6" width="31" hidden="0" customWidth="1"/>
    <x:col min="7" max="7" width="12" hidden="0" customWidth="1"/>
    <x:col min="8" max="8" width="14" hidden="0" customWidth="1"/>
    <x:col min="9" max="9" width="18" hidden="0" customWidth="1"/>
    <x:col min="10" max="10" width="18" hidden="0" customWidth="1"/>
    <x:col min="11" max="11" width="32" hidden="0" customWidth="1"/>
    <x:col min="12" max="12" width="52" hidden="0" customWidth="1"/>
    <x:col min="13" max="13" width="42" hidden="0" customWidth="1"/>
    <x:col min="14" max="14" width="48" hidden="0" customWidth="1"/>
    <x:col min="15" max="15" width="42" hidden="0" customWidth="1"/>
  </x:cols>
  <x:sheetData>
    <x:row r="1" ht="34" customHeight="1">
      <x:c r="A1" s="132" t="str">
        <x:v>JaniWheels Complete Functionality &amp; Development Status Tracker</x:v>
      </x:c>
      <x:c r="B1" s="132"/>
      <x:c r="C1" s="132"/>
      <x:c r="D1" s="132"/>
      <x:c r="E1" s="132"/>
      <x:c r="F1" s="132"/>
      <x:c r="G1" s="132"/>
      <x:c r="H1" s="132"/>
      <x:c r="I1" s="132"/>
      <x:c r="J1" s="132"/>
      <x:c r="K1" s="132"/>
      <x:c r="L1" s="132"/>
      <x:c r="M1" s="132"/>
      <x:c r="N1" s="132"/>
      <x:c r="O1" s="132"/>
    </x:row>
    <x:row r="2" ht="24" customHeight="1">
      <x:c r="A2" s="133" t="str">
        <x:v>13 October 2026: PR #7 merged. Prehosting security/QA branch passes check/lint/build, 22 isolated DB, 101 routes and 179 browser cases/1 planned skip; local load and 20,000-listing samples recorded. Candidate CI/review, hosting, live providers, real devices, backups and 500-user capacity remain open.</x:v>
      </x:c>
      <x:c r="B2" s="133"/>
      <x:c r="C2" s="133"/>
      <x:c r="D2" s="133"/>
      <x:c r="E2" s="133"/>
      <x:c r="F2" s="133"/>
      <x:c r="G2" s="133"/>
      <x:c r="H2" s="133"/>
      <x:c r="I2" s="133"/>
      <x:c r="J2" s="133"/>
      <x:c r="K2" s="133"/>
      <x:c r="L2" s="133"/>
      <x:c r="M2" s="133"/>
      <x:c r="N2" s="133"/>
      <x:c r="O2" s="133"/>
    </x:row>
    <x:row r="3">
      <x:c r="A3" s="88"/>
      <x:c r="B3" s="88"/>
      <x:c r="C3" s="88"/>
      <x:c r="D3" s="88"/>
      <x:c r="E3" s="88"/>
      <x:c r="F3" s="88"/>
      <x:c r="G3" s="88"/>
      <x:c r="H3" s="88"/>
      <x:c r="I3" s="88"/>
      <x:c r="J3" s="88"/>
      <x:c r="K3" s="88"/>
      <x:c r="L3" s="88"/>
      <x:c r="M3" s="88"/>
      <x:c r="N3" s="88"/>
      <x:c r="O3" s="88"/>
    </x:row>
    <x:row r="4" ht="38" customHeight="1">
      <x:c r="A4" s="134" t="str">
        <x:v>ID</x:v>
      </x:c>
      <x:c r="B4" s="134" t="str">
        <x:v>Module</x:v>
      </x:c>
      <x:c r="C4" s="134" t="str">
        <x:v>Feature</x:v>
      </x:c>
      <x:c r="D4" s="134" t="str">
        <x:v>Detailed Requirement</x:v>
      </x:c>
      <x:c r="E4" s="134" t="str">
        <x:v>Scope</x:v>
      </x:c>
      <x:c r="F4" s="134" t="str">
        <x:v>Status</x:v>
      </x:c>
      <x:c r="G4" s="134" t="str">
        <x:v>Completion</x:v>
      </x:c>
      <x:c r="H4" s="134" t="str">
        <x:v>Priority</x:v>
      </x:c>
      <x:c r="I4" s="134" t="str">
        <x:v>Development Stage</x:v>
      </x:c>
      <x:c r="J4" s="134" t="str">
        <x:v>Owner</x:v>
      </x:c>
      <x:c r="K4" s="134" t="str">
        <x:v>Dependency / Prerequisite</x:v>
      </x:c>
      <x:c r="L4" s="134" t="str">
        <x:v>Definition of Done / Acceptance Criteria</x:v>
      </x:c>
      <x:c r="M4" s="134" t="str">
        <x:v>Required Testing</x:v>
      </x:c>
      <x:c r="N4" s="134" t="str">
        <x:v>Current Evidence / Gap</x:v>
      </x:c>
      <x:c r="O4" s="134" t="str">
        <x:v>Next Action</x:v>
      </x:c>
    </x:row>
    <x:row r="5">
      <x:c r="A5" s="135" t="str">
        <x:v>JW-001</x:v>
      </x:c>
      <x:c r="B5" s="135" t="str">
        <x:v>Project Foundation</x:v>
      </x:c>
      <x:c r="C5" s="135" t="str">
        <x:v>Application architecture</x:v>
      </x:c>
      <x:c r="D5" s="136" t="str">
        <x:v>Next.js 15 App Router, React 19 and TypeScript foundation</x:v>
      </x:c>
      <x:c r="E5" s="136" t="str">
        <x:v>Technical Foundation</x:v>
      </x:c>
      <x:c r="F5" s="136" t="str">
        <x:v>Completed</x:v>
      </x:c>
      <x:c r="G5" s="137" t="n">
        <x:v>1</x:v>
      </x:c>
      <x:c r="H5" s="136" t="str">
        <x:v>High</x:v>
      </x:c>
      <x:c r="I5" s="136" t="str">
        <x:v>Stage 0</x:v>
      </x:c>
      <x:c r="J5" s="136" t="str">
        <x:v>Unassigned</x:v>
      </x:c>
      <x:c r="K5" s="136" t="str">
        <x:v>None</x:v>
      </x:c>
      <x:c r="L5" s="136" t="str">
        <x:v>Application compiles with strict TypeScript and routes use the shared App Router layout.</x:v>
      </x:c>
      <x:c r="M5" s="136" t="str">
        <x:v>Typecheck; production compilation; route smoke test</x:v>
      </x:c>
      <x:c r="N5" s="136" t="str">
        <x:v>Framework and scripts are present in package.json.</x:v>
      </x:c>
      <x:c r="O5" s="136" t="str">
        <x:v>Maintain during every feature branch.</x:v>
      </x:c>
    </x:row>
    <x:row r="6">
      <x:c r="A6" s="135" t="str">
        <x:v>JW-002</x:v>
      </x:c>
      <x:c r="B6" s="135" t="str">
        <x:v>Project Foundation</x:v>
      </x:c>
      <x:c r="C6" s="135" t="str">
        <x:v>Styling system</x:v>
      </x:c>
      <x:c r="D6" s="136" t="str">
        <x:v>Tailwind CSS 4 and shared responsive styling</x:v>
      </x:c>
      <x:c r="E6" s="136" t="str">
        <x:v>Technical Foundation</x:v>
      </x:c>
      <x:c r="F6" s="136" t="str">
        <x:v>Completed</x:v>
      </x:c>
      <x:c r="G6" s="137" t="n">
        <x:v>1</x:v>
      </x:c>
      <x:c r="H6" s="136" t="str">
        <x:v>High</x:v>
      </x:c>
      <x:c r="I6" s="136" t="str">
        <x:v>Stage 0</x:v>
      </x:c>
      <x:c r="J6" s="136" t="str">
        <x:v>Unassigned</x:v>
      </x:c>
      <x:c r="K6" s="136" t="str">
        <x:v>Application architecture</x:v>
      </x:c>
      <x:c r="L6" s="136" t="str">
        <x:v>Shared styles load on all routes without overflow or hydration defects.</x:v>
      </x:c>
      <x:c r="M6" s="136" t="str">
        <x:v>Desktop/tablet/mobile visual regression</x:v>
      </x:c>
      <x:c r="N6" s="136" t="str">
        <x:v>Tailwind and globals.css are active.</x:v>
      </x:c>
      <x:c r="O6" s="136" t="str">
        <x:v>Add reusable tokens/components as design matures.</x:v>
      </x:c>
    </x:row>
    <x:row r="7">
      <x:c r="A7" s="135" t="str">
        <x:v>JW-003</x:v>
      </x:c>
      <x:c r="B7" s="135" t="str">
        <x:v>Project Foundation</x:v>
      </x:c>
      <x:c r="C7" s="135" t="str">
        <x:v>Database architecture</x:v>
      </x:c>
      <x:c r="D7" s="136" t="str">
        <x:v>PostgreSQL with Drizzle ORM and relational V1 schema</x:v>
      </x:c>
      <x:c r="E7" s="136" t="str">
        <x:v>Technical Foundation</x:v>
      </x:c>
      <x:c r="F7" s="136" t="str">
        <x:v>Completed</x:v>
      </x:c>
      <x:c r="G7" s="137" t="n">
        <x:v>1</x:v>
      </x:c>
      <x:c r="H7" s="136" t="str">
        <x:v>Critical</x:v>
      </x:c>
      <x:c r="I7" s="136" t="str">
        <x:v>Stage 0</x:v>
      </x:c>
      <x:c r="J7" s="136" t="str">
        <x:v>Unassigned</x:v>
      </x:c>
      <x:c r="K7" s="136" t="str">
        <x:v>PostgreSQL</x:v>
      </x:c>
      <x:c r="L7" s="136" t="str">
        <x:v>All V1 tables migrate on a clean database and foreign keys/indexes are valid.</x:v>
      </x:c>
      <x:c r="M7" s="136" t="str">
        <x:v>Clean migration; rollback plan review; schema integrity test</x:v>
      </x:c>
      <x:c r="N7" s="136" t="str">
        <x:v>V1 migration and schema files exist.</x:v>
      </x:c>
      <x:c r="O7" s="136" t="str">
        <x:v>Add migrations per feature; never edit production data manually.</x:v>
      </x:c>
    </x:row>
    <x:row r="8">
      <x:c r="A8" s="135" t="str">
        <x:v>JW-004</x:v>
      </x:c>
      <x:c r="B8" s="135" t="str">
        <x:v>Project Foundation</x:v>
      </x:c>
      <x:c r="C8" s="135" t="str">
        <x:v>Reference data seeds</x:v>
      </x:c>
      <x:c r="D8" s="136" t="str">
        <x:v>Cities, areas, makes, models, variants, features and part categories</x:v>
      </x:c>
      <x:c r="E8" s="136" t="str">
        <x:v>Technical Foundation</x:v>
      </x:c>
      <x:c r="F8" s="136" t="str">
        <x:v>Completed</x:v>
      </x:c>
      <x:c r="G8" s="137" t="n">
        <x:v>1</x:v>
      </x:c>
      <x:c r="H8" s="136" t="str">
        <x:v>Critical</x:v>
      </x:c>
      <x:c r="I8" s="136" t="str">
        <x:v>Stage 0</x:v>
      </x:c>
      <x:c r="J8" s="136" t="str">
        <x:v>Unassigned</x:v>
      </x:c>
      <x:c r="K8" s="136" t="str">
        <x:v>Database schema</x:v>
      </x:c>
      <x:c r="L8" s="136" t="str">
        <x:v>Seed runs repeatedly without duplicate/conflicting taxonomy records.</x:v>
      </x:c>
      <x:c r="M8" s="136" t="str">
        <x:v>Fresh seed; idempotency; taxonomy count checks</x:v>
      </x:c>
      <x:c r="N8" s="136" t="str">
        <x:v>db:seed scripts are present and working locally.</x:v>
      </x:c>
      <x:c r="O8" s="136" t="str">
        <x:v>Expand and validate production taxonomy before launch.</x:v>
      </x:c>
    </x:row>
    <x:row r="9">
      <x:c r="A9" s="135" t="str">
        <x:v>JW-005</x:v>
      </x:c>
      <x:c r="B9" s="135" t="str">
        <x:v>Project Foundation</x:v>
      </x:c>
      <x:c r="C9" s="135" t="str">
        <x:v>Demo inventory seed</x:v>
      </x:c>
      <x:c r="D9" s="136" t="str">
        <x:v>Non-production demonstration listings</x:v>
      </x:c>
      <x:c r="E9" s="136" t="str">
        <x:v>Technical Foundation</x:v>
      </x:c>
      <x:c r="F9" s="136" t="str">
        <x:v>Completed</x:v>
      </x:c>
      <x:c r="G9" s="137" t="n">
        <x:v>1</x:v>
      </x:c>
      <x:c r="H9" s="136" t="str">
        <x:v>Low</x:v>
      </x:c>
      <x:c r="I9" s="136" t="str">
        <x:v>Stage 0</x:v>
      </x:c>
      <x:c r="J9" s="136" t="str">
        <x:v>Unassigned</x:v>
      </x:c>
      <x:c r="K9" s="136" t="str">
        <x:v>Reference data</x:v>
      </x:c>
      <x:c r="L9" s="136" t="str">
        <x:v>Demo seed creates representative cars, bikes and parts only in development.</x:v>
      </x:c>
      <x:c r="M9" s="136" t="str">
        <x:v>Run on disposable DB; verify never included in deployment</x:v>
      </x:c>
      <x:c r="N9" s="136" t="str">
        <x:v>src/db/seed/demo.ts exists.</x:v>
      </x:c>
      <x:c r="O9" s="136" t="str">
        <x:v>Keep explicit production warning.</x:v>
      </x:c>
    </x:row>
    <x:row r="10">
      <x:c r="A10" s="135" t="str">
        <x:v>JW-006</x:v>
      </x:c>
      <x:c r="B10" s="135" t="str">
        <x:v>Project Foundation</x:v>
      </x:c>
      <x:c r="C10" s="135" t="str">
        <x:v>Environment template</x:v>
      </x:c>
      <x:c r="D10" s="136" t="str">
        <x:v>Document required database, site, auth, media and cron variables</x:v>
      </x:c>
      <x:c r="E10" s="136" t="str">
        <x:v>Technical Foundation</x:v>
      </x:c>
      <x:c r="F10" s="136" t="str">
        <x:v>Completed</x:v>
      </x:c>
      <x:c r="G10" s="137" t="n">
        <x:v>1</x:v>
      </x:c>
      <x:c r="H10" s="136" t="str">
        <x:v>High</x:v>
      </x:c>
      <x:c r="I10" s="136" t="str">
        <x:v>Stage 0</x:v>
      </x:c>
      <x:c r="J10" s="136" t="str">
        <x:v>Backend</x:v>
      </x:c>
      <x:c r="K10" s="136" t="str">
        <x:v>Deployment decisions</x:v>
      </x:c>
      <x:c r="L10" s="136" t="str">
        <x:v>Every documented variable maps to an implemented provider and startup validation catches missing values.</x:v>
      </x:c>
      <x:c r="M10" s="136" t="str">
        <x:v>Boot with missing/valid variables; configuration audit</x:v>
      </x:c>
      <x:c r="N10" s="136" t="str">
        <x:v>Runtime startup validation and stricter launch CLI implemented and tested. Checks origins, PostgreSQL URL, non-placeholder secret, provider alignment, private-media variables, OAuth pairs and unsafe upload paths without printing values. Removed unused Typesense settings. Current local config passes; launch check correctly reports missing HTTPS/live email/durable media and cron-secret requirements.</x:v>
      </x:c>
      <x:c r="O10" s="136" t="str">
        <x:v>Run npm run check:deployment with the selected deployment configuration; live services remain separately tracked.</x:v>
      </x:c>
    </x:row>
    <x:row r="11">
      <x:c r="A11" s="135" t="str">
        <x:v>JW-007</x:v>
      </x:c>
      <x:c r="B11" s="135" t="str">
        <x:v>Project Foundation</x:v>
      </x:c>
      <x:c r="C11" s="135" t="str">
        <x:v>GitHub workflow</x:v>
      </x:c>
      <x:c r="D11" s="136" t="str">
        <x:v>Feature branch, commit, push, local review and approved merge</x:v>
      </x:c>
      <x:c r="E11" s="136" t="str">
        <x:v>Technical Foundation</x:v>
      </x:c>
      <x:c r="F11" s="136" t="str">
        <x:v>Completed</x:v>
      </x:c>
      <x:c r="G11" s="137" t="n">
        <x:v>1</x:v>
      </x:c>
      <x:c r="H11" s="136" t="str">
        <x:v>Critical</x:v>
      </x:c>
      <x:c r="I11" s="136" t="str">
        <x:v>Stage 0</x:v>
      </x:c>
      <x:c r="J11" s="136" t="str">
        <x:v>Unassigned</x:v>
      </x:c>
      <x:c r="K11" s="136" t="str">
        <x:v>GitHub access</x:v>
      </x:c>
      <x:c r="L11" s="136" t="str">
        <x:v>No feature is merged before local review and explicit approval.</x:v>
      </x:c>
      <x:c r="M11" s="136" t="str">
        <x:v>Branch protection/process review</x:v>
      </x:c>
      <x:c r="N11" s="136" t="str">
        <x:v>PR #1 merged; PR #2 is open for homepage review.</x:v>
      </x:c>
      <x:c r="O11" s="136" t="str">
        <x:v>Continue one logical feature per branch.</x:v>
      </x:c>
    </x:row>
    <x:row r="12">
      <x:c r="A12" s="135" t="str">
        <x:v>JW-008</x:v>
      </x:c>
      <x:c r="B12" s="135" t="str">
        <x:v>Project Foundation</x:v>
      </x:c>
      <x:c r="C12" s="135" t="str">
        <x:v>CI pipeline</x:v>
      </x:c>
      <x:c r="D12" s="136" t="str">
        <x:v>Automated typecheck, lint, tests and build on pull requests</x:v>
      </x:c>
      <x:c r="E12" s="136" t="str">
        <x:v>Technical Foundation</x:v>
      </x:c>
      <x:c r="F12" s="136" t="str">
        <x:v>Partially Implemented</x:v>
      </x:c>
      <x:c r="G12" s="137" t="n">
        <x:v>0.85</x:v>
      </x:c>
      <x:c r="H12" s="136" t="str">
        <x:v>Critical</x:v>
      </x:c>
      <x:c r="I12" s="136" t="str">
        <x:v>Stage 6</x:v>
      </x:c>
      <x:c r="J12" s="136" t="str">
        <x:v>DevOps</x:v>
      </x:c>
      <x:c r="K12" s="136" t="str">
        <x:v>GitHub Actions</x:v>
      </x:c>
      <x:c r="L12" s="136" t="str">
        <x:v>Every PR is blocked when any required check fails.</x:v>
      </x:c>
      <x:c r="M12" s="136" t="str">
        <x:v>Deliberately failing test; protected-branch verification</x:v>
      </x:c>
      <x:c r="N12" s="136" t="str">
        <x:v>PR #7 merged after independent exact-head review. Current prehosting branch passes fresh local check/lint/build, 22 DB, 101 routes and 179 browser cases/1 planned skip; candidate CI and protected-branch enforcement still require verification.</x:v>
      </x:c>
      <x:c r="O12" s="136" t="str">
        <x:v>Obtain green exact-head CI and independent review for prehosting PR; verify required checks and branch protection. Staging and live acceptance remain open.</x:v>
      </x:c>
    </x:row>
    <x:row r="13">
      <x:c r="A13" s="135" t="str">
        <x:v>JW-009</x:v>
      </x:c>
      <x:c r="B13" s="135" t="str">
        <x:v>Project Foundation</x:v>
      </x:c>
      <x:c r="C13" s="135" t="str">
        <x:v>Staging environment</x:v>
      </x:c>
      <x:c r="D13" s="136" t="str">
        <x:v>Persistent online preview connected to a staging database and media store</x:v>
      </x:c>
      <x:c r="E13" s="136" t="str">
        <x:v>Technical Foundation</x:v>
      </x:c>
      <x:c r="F13" s="136" t="str">
        <x:v>Pending</x:v>
      </x:c>
      <x:c r="G13" s="137" t="n">
        <x:v>0</x:v>
      </x:c>
      <x:c r="H13" s="136" t="str">
        <x:v>High</x:v>
      </x:c>
      <x:c r="I13" s="136" t="str">
        <x:v>Stage 6</x:v>
      </x:c>
      <x:c r="J13" s="136" t="str">
        <x:v>Unassigned</x:v>
      </x:c>
      <x:c r="K13" s="136" t="str">
        <x:v>Hosting, DB, image provider</x:v>
      </x:c>
      <x:c r="L13" s="136" t="str">
        <x:v>Each review branch can be tested without using production data or production secrets.</x:v>
      </x:c>
      <x:c r="M13" s="136" t="str">
        <x:v>Deployment smoke; robots noindex; data isolation</x:v>
      </x:c>
      <x:c r="N13" s="136" t="str">
        <x:v>CI creates an isolated ephemeral test environment; persistent hosted preview is not configured.</x:v>
      </x:c>
      <x:c r="O13" s="136" t="str">
        <x:v>Select hosting, separate staging DB and durable media; then verify noindex and deployment smoke.</x:v>
      </x:c>
    </x:row>
    <x:row r="14">
      <x:c r="A14" s="135" t="str">
        <x:v>JW-010</x:v>
      </x:c>
      <x:c r="B14" s="135" t="str">
        <x:v>Project Foundation</x:v>
      </x:c>
      <x:c r="C14" s="135" t="str">
        <x:v>Safe production build</x:v>
      </x:c>
      <x:c r="D14" s="136" t="str">
        <x:v>Separate Next.js build directory while dev server runs</x:v>
      </x:c>
      <x:c r="E14" s="136" t="str">
        <x:v>Technical Foundation</x:v>
      </x:c>
      <x:c r="F14" s="136" t="str">
        <x:v>Completed</x:v>
      </x:c>
      <x:c r="G14" s="137" t="n">
        <x:v>1</x:v>
      </x:c>
      <x:c r="H14" s="136" t="str">
        <x:v>Medium</x:v>
      </x:c>
      <x:c r="I14" s="136" t="str">
        <x:v>Stage 0</x:v>
      </x:c>
      <x:c r="J14" s="136" t="str">
        <x:v>Unassigned</x:v>
      </x:c>
      <x:c r="K14" s="136" t="str">
        <x:v>Build scripts</x:v>
      </x:c>
      <x:c r="L14" s="136" t="str">
        <x:v>Build does not corrupt the active development .next directory.</x:v>
      </x:c>
      <x:c r="M14" s="136" t="str">
        <x:v>Run dev and build:safe concurrently</x:v>
      </x:c>
      <x:c r="N14" s="136" t="str">
        <x:v>build:safe writes to .next-build.</x:v>
      </x:c>
      <x:c r="O14" s="136" t="str">
        <x:v>Keep this as the standard build command.</x:v>
      </x:c>
    </x:row>
    <x:row r="15">
      <x:c r="A15" s="135" t="str">
        <x:v>JW-011</x:v>
      </x:c>
      <x:c r="B15" s="135" t="str">
        <x:v>Project Foundation</x:v>
      </x:c>
      <x:c r="C15" s="135" t="str">
        <x:v>Whole-site route sweep</x:v>
      </x:c>
      <x:c r="D15" s="136" t="str">
        <x:v>Crawl routes, headings, errors and broken local images</x:v>
      </x:c>
      <x:c r="E15" s="136" t="str">
        <x:v>Technical Foundation</x:v>
      </x:c>
      <x:c r="F15" s="136" t="str">
        <x:v>Completed</x:v>
      </x:c>
      <x:c r="G15" s="137" t="n">
        <x:v>1</x:v>
      </x:c>
      <x:c r="H15" s="136" t="str">
        <x:v>High</x:v>
      </x:c>
      <x:c r="I15" s="136" t="str">
        <x:v>Stage 0</x:v>
      </x:c>
      <x:c r="J15" s="136" t="str">
        <x:v>Unassigned</x:v>
      </x:c>
      <x:c r="K15" s="136" t="str">
        <x:v>Running app and seeded DB</x:v>
      </x:c>
      <x:c r="L15" s="136" t="str">
        <x:v>Sweep returns zero issues for static routes, facets, details and dealer pages.</x:v>
      </x:c>
      <x:c r="M15" s="136" t="str">
        <x:v>npm run sweep on every route-changing branch</x:v>
      </x:c>
      <x:c r="N15" s="136" t="str">
        <x:v>Fresh isolated acceptance checks 101 URLs with zero issues. Final media rebuild follow-up checked 103 URLs with zero issues. GitHub run 37 passed on a96704b.</x:v>
      </x:c>
      <x:c r="O15" s="136" t="str">
        <x:v>Keep the sweep in CI and add routes as functionality grows.</x:v>
      </x:c>
    </x:row>
    <x:row r="16">
      <x:c r="A16" s="135" t="str">
        <x:v>JW-012</x:v>
      </x:c>
      <x:c r="B16" s="135" t="str">
        <x:v>Project Foundation</x:v>
      </x:c>
      <x:c r="C16" s="135" t="str">
        <x:v>Unit and integration test framework</x:v>
      </x:c>
      <x:c r="D16" s="136" t="str">
        <x:v>Automated business-logic and database tests beyond SEO assertions</x:v>
      </x:c>
      <x:c r="E16" s="136" t="str">
        <x:v>Technical Foundation</x:v>
      </x:c>
      <x:c r="F16" s="136" t="str">
        <x:v>Completed</x:v>
      </x:c>
      <x:c r="G16" s="137" t="n">
        <x:v>1</x:v>
      </x:c>
      <x:c r="H16" s="136" t="str">
        <x:v>Critical</x:v>
      </x:c>
      <x:c r="I16" s="136" t="str">
        <x:v>Stage 1</x:v>
      </x:c>
      <x:c r="J16" s="136" t="str">
        <x:v>QA</x:v>
      </x:c>
      <x:c r="K16" s="136" t="str">
        <x:v>Test runner and isolated DB</x:v>
      </x:c>
      <x:c r="L16" s="136" t="str">
        <x:v>Critical actions are tested for success, validation, authorization and rollback.</x:v>
      </x:c>
      <x:c r="M16" s="136" t="str">
        <x:v>Unit; integration; transaction tests</x:v>
      </x:c>
      <x:c r="N16" s="136" t="str">
        <x:v>8 Oct: 18 isolated DB regressions cover publication quota races, curated taxonomy/area ownership, restore moderation/alert suppression, safe logging and banned-owner alerts.</x:v>
      </x:c>
      <x:c r="O16" s="136" t="str">
        <x:v>Maintain regression coverage as product/provider changes occur; no framework implementation gap remains.</x:v>
      </x:c>
    </x:row>
    <x:row r="17">
      <x:c r="A17" s="135" t="str">
        <x:v>JW-013</x:v>
      </x:c>
      <x:c r="B17" s="135" t="str">
        <x:v>Project Foundation</x:v>
      </x:c>
      <x:c r="C17" s="135" t="str">
        <x:v>End-to-end browser tests</x:v>
      </x:c>
      <x:c r="D17" s="136" t="str">
        <x:v>Automate key buyer, seller, dealer and admin journeys</x:v>
      </x:c>
      <x:c r="E17" s="136" t="str">
        <x:v>Technical Foundation</x:v>
      </x:c>
      <x:c r="F17" s="136" t="str">
        <x:v>Completed</x:v>
      </x:c>
      <x:c r="G17" s="137" t="n">
        <x:v>1</x:v>
      </x:c>
      <x:c r="H17" s="136" t="str">
        <x:v>Critical</x:v>
      </x:c>
      <x:c r="I17" s="136" t="str">
        <x:v>Stage 1</x:v>
      </x:c>
      <x:c r="J17" s="136" t="str">
        <x:v>QA</x:v>
      </x:c>
      <x:c r="K17" s="136" t="str">
        <x:v>Stable staging/test DB</x:v>
      </x:c>
      <x:c r="L17" s="136" t="str">
        <x:v>Core journeys pass in Chromium at desktop and mobile viewports.</x:v>
      </x:c>
      <x:c r="M17" s="136" t="str">
        <x:v>E2E happy path; negative path; accessibility</x:v>
      </x:c>
      <x:c r="N17" s="136" t="str">
        <x:v>PR #7 merged after independent review. Fresh prehosting local run: 22 DB, 101 routes, 179 browser pass/1 planned skip across desktop/mobile Chromium, three local WebKit smokes and recovery; negative upload/report/registration cases added.</x:v>
      </x:c>
      <x:c r="O17" s="136" t="str">
        <x:v>Maintain candidate CI/review; run live-provider, staging and real-device acceptance under separate launch gates.</x:v>
      </x:c>
    </x:row>
    <x:row r="18">
      <x:c r="A18" s="135" t="str">
        <x:v>JW-014</x:v>
      </x:c>
      <x:c r="B18" s="135" t="str">
        <x:v>Project Foundation</x:v>
      </x:c>
      <x:c r="C18" s="135" t="str">
        <x:v>Dependency security</x:v>
      </x:c>
      <x:c r="D18" s="136" t="str">
        <x:v>Monitor and resolve vulnerable packages without unsafe forced upgrades</x:v>
      </x:c>
      <x:c r="E18" s="136" t="str">
        <x:v>Technical Foundation</x:v>
      </x:c>
      <x:c r="F18" s="136" t="str">
        <x:v>Completed</x:v>
      </x:c>
      <x:c r="G18" s="137" t="n">
        <x:v>1</x:v>
      </x:c>
      <x:c r="H18" s="136" t="str">
        <x:v>Critical</x:v>
      </x:c>
      <x:c r="I18" s="136" t="str">
        <x:v>Stage 1</x:v>
      </x:c>
      <x:c r="J18" s="136" t="str">
        <x:v>Unassigned</x:v>
      </x:c>
      <x:c r="K18" s="136" t="str">
        <x:v>Package audit</x:v>
      </x:c>
      <x:c r="L18" s="136" t="str">
        <x:v>No unresolved high/critical production vulnerability remains at launch.</x:v>
      </x:c>
      <x:c r="M18" s="136" t="str">
        <x:v>npm audit review; regression build</x:v>
      </x:c>
      <x:c r="N18" s="136" t="str">
        <x:v>30 Sep 2026: Next.js 15.5.26, sharp 0.35.5 and patched PostCSS/js-yaml installed; earlier package, route and browser checks passed. 8 Oct 2026: patched source-map-js to 1.2.2 for GHSA-68fv-2mgg-jv7q. Production npm audit reports zero vulnerabilities; local lint and build pass. GitHub PR #6 quality and acceptance CI passed.</x:v>
      </x:c>
      <x:c r="O18" s="136" t="str">
        <x:v>Monitor advisories in CI; four moderate development-only esbuild advisories await a compatible upstream Drizzle kit update.</x:v>
      </x:c>
    </x:row>
    <x:row r="19">
      <x:c r="A19" s="135" t="str">
        <x:v>JW-015</x:v>
      </x:c>
      <x:c r="B19" s="135" t="str">
        <x:v>Homepage &amp; Global UI</x:v>
      </x:c>
      <x:c r="C19" s="135" t="str">
        <x:v>Official brand logo</x:v>
      </x:c>
      <x:c r="D19" s="136" t="str">
        <x:v>Transparent JaniWheels logo in global header/footer</x:v>
      </x:c>
      <x:c r="E19" s="136" t="str">
        <x:v>Signed V1</x:v>
      </x:c>
      <x:c r="F19" s="136" t="str">
        <x:v>Completed</x:v>
      </x:c>
      <x:c r="G19" s="137" t="n">
        <x:v>1</x:v>
      </x:c>
      <x:c r="H19" s="136" t="str">
        <x:v>High</x:v>
      </x:c>
      <x:c r="I19" s="136" t="str">
        <x:v>Stage 0</x:v>
      </x:c>
      <x:c r="J19" s="136" t="str">
        <x:v>Unassigned</x:v>
      </x:c>
      <x:c r="K19" s="136" t="str">
        <x:v>Homepage branch review</x:v>
      </x:c>
      <x:c r="L19" s="136" t="str">
        <x:v>Approved logo renders sharply on light/dark backgrounds and mobile.</x:v>
      </x:c>
      <x:c r="M19" s="136" t="str">
        <x:v>Visual check; image dimensions; alt text</x:v>
      </x:c>
      <x:c r="N19" s="136" t="str">
        <x:v>Homepage redesign is present in current branch ancestry and automated project checks pass; final branding/responsive acceptance is intentionally deferred.</x:v>
      </x:c>
      <x:c r="O19" s="136" t="str">
        <x:v>Retain in final regression and comprehensive browser QA.</x:v>
      </x:c>
    </x:row>
    <x:row r="20">
      <x:c r="A20" s="135" t="str">
        <x:v>JW-016</x:v>
      </x:c>
      <x:c r="B20" s="135" t="str">
        <x:v>Homepage &amp; Global UI</x:v>
      </x:c>
      <x:c r="C20" s="135" t="str">
        <x:v>Sticky desktop header</x:v>
      </x:c>
      <x:c r="D20" s="136" t="str">
        <x:v>Logo, scoped navigation, account and Post an Ad action</x:v>
      </x:c>
      <x:c r="E20" s="136" t="str">
        <x:v>Signed V1</x:v>
      </x:c>
      <x:c r="F20" s="136" t="str">
        <x:v>Completed</x:v>
      </x:c>
      <x:c r="G20" s="137" t="n">
        <x:v>1</x:v>
      </x:c>
      <x:c r="H20" s="136" t="str">
        <x:v>High</x:v>
      </x:c>
      <x:c r="I20" s="136" t="str">
        <x:v>Stage 0</x:v>
      </x:c>
      <x:c r="J20" s="136" t="str">
        <x:v>Unassigned</x:v>
      </x:c>
      <x:c r="K20" s="136" t="str">
        <x:v>Working routes</x:v>
      </x:c>
      <x:c r="L20" s="136" t="str">
        <x:v>Header remains usable while scrolling and contains no dead/out-of-scope links.</x:v>
      </x:c>
      <x:c r="M20" s="136" t="str">
        <x:v>Keyboard navigation; responsive; route links</x:v>
      </x:c>
      <x:c r="N20" s="136" t="str">
        <x:v>Homepage redesign is present in current branch ancestry and automated project checks pass; final branding/responsive acceptance is intentionally deferred.</x:v>
      </x:c>
      <x:c r="O20" s="136" t="str">
        <x:v>Retain in final regression and comprehensive browser QA.</x:v>
      </x:c>
    </x:row>
    <x:row r="21">
      <x:c r="A21" s="135" t="str">
        <x:v>JW-017</x:v>
      </x:c>
      <x:c r="B21" s="135" t="str">
        <x:v>Homepage &amp; Global UI</x:v>
      </x:c>
      <x:c r="C21" s="135" t="str">
        <x:v>Mobile navigation</x:v>
      </x:c>
      <x:c r="D21" s="136" t="str">
        <x:v>Accessible compact navigation menu with Post an Ad</x:v>
      </x:c>
      <x:c r="E21" s="136" t="str">
        <x:v>Signed V1</x:v>
      </x:c>
      <x:c r="F21" s="136" t="str">
        <x:v>Completed</x:v>
      </x:c>
      <x:c r="G21" s="137" t="n">
        <x:v>1</x:v>
      </x:c>
      <x:c r="H21" s="136" t="str">
        <x:v>Critical</x:v>
      </x:c>
      <x:c r="I21" s="136" t="str">
        <x:v>Stage 0</x:v>
      </x:c>
      <x:c r="J21" s="136" t="str">
        <x:v>Unassigned</x:v>
      </x:c>
      <x:c r="K21" s="136" t="str">
        <x:v>Header</x:v>
      </x:c>
      <x:c r="L21" s="136" t="str">
        <x:v>Menu opens, links are tappable, focus is usable and no horizontal overflow occurs.</x:v>
      </x:c>
      <x:c r="M21" s="136" t="str">
        <x:v>360/390/414 px; keyboard; screen reader labels</x:v>
      </x:c>
      <x:c r="N21" s="136" t="str">
        <x:v>Homepage redesign is present in current branch ancestry and automated project checks pass; final branding/responsive acceptance is intentionally deferred.</x:v>
      </x:c>
      <x:c r="O21" s="136" t="str">
        <x:v>Retain in final regression and comprehensive browser QA.</x:v>
      </x:c>
    </x:row>
    <x:row r="22">
      <x:c r="A22" s="135" t="str">
        <x:v>JW-018</x:v>
      </x:c>
      <x:c r="B22" s="135" t="str">
        <x:v>Homepage &amp; Global UI</x:v>
      </x:c>
      <x:c r="C22" s="135" t="str">
        <x:v>Hero section</x:v>
      </x:c>
      <x:c r="D22" s="136" t="str">
        <x:v>Premium black/charcoal automotive hero with gold accents</x:v>
      </x:c>
      <x:c r="E22" s="136" t="str">
        <x:v>Signed V1</x:v>
      </x:c>
      <x:c r="F22" s="136" t="str">
        <x:v>Completed</x:v>
      </x:c>
      <x:c r="G22" s="137" t="n">
        <x:v>1</x:v>
      </x:c>
      <x:c r="H22" s="136" t="str">
        <x:v>Medium</x:v>
      </x:c>
      <x:c r="I22" s="136" t="str">
        <x:v>Stage 0</x:v>
      </x:c>
      <x:c r="J22" s="136" t="str">
        <x:v>Unassigned</x:v>
      </x:c>
      <x:c r="K22" s="136" t="str">
        <x:v>Brand assets</x:v>
      </x:c>
      <x:c r="L22" s="136" t="str">
        <x:v>Hero hierarchy is clear and does not delay LCP with heavy media.</x:v>
      </x:c>
      <x:c r="M22" s="136" t="str">
        <x:v>Visual regression; performance; contrast</x:v>
      </x:c>
      <x:c r="N22" s="136" t="str">
        <x:v>Three-frame sedan/SUV/bike hero with optimized assets, decorative alt text and reduced-motion fallback was visually approved by owner and pushed in 936baee. Full checks, lint and 128 kB max First Load JS build passed.</x:v>
      </x:c>
      <x:c r="O22" s="136" t="str">
        <x:v>Retain hero transitions and reduced-motion behavior in final regression and responsive QA.</x:v>
      </x:c>
    </x:row>
    <x:row r="23">
      <x:c r="A23" s="135" t="str">
        <x:v>JW-019</x:v>
      </x:c>
      <x:c r="B23" s="135" t="str">
        <x:v>Homepage &amp; Global UI</x:v>
      </x:c>
      <x:c r="C23" s="135" t="str">
        <x:v>Homepage category tabs</x:v>
      </x:c>
      <x:c r="D23" s="136" t="str">
        <x:v>Cars, Bikes and Auto Parts switcher</x:v>
      </x:c>
      <x:c r="E23" s="136" t="str">
        <x:v>Signed V1</x:v>
      </x:c>
      <x:c r="F23" s="136" t="str">
        <x:v>Completed</x:v>
      </x:c>
      <x:c r="G23" s="137" t="n">
        <x:v>1</x:v>
      </x:c>
      <x:c r="H23" s="136" t="str">
        <x:v>High</x:v>
      </x:c>
      <x:c r="I23" s="136" t="str">
        <x:v>Stage 0</x:v>
      </x:c>
      <x:c r="J23" s="136" t="str">
        <x:v>Unassigned</x:v>
      </x:c>
      <x:c r="K23" s="136" t="str">
        <x:v>Taxonomy data</x:v>
      </x:c>
      <x:c r="L23" s="136" t="str">
        <x:v>Changing category resets incompatible fields and builds the correct browse URL.</x:v>
      </x:c>
      <x:c r="M23" s="136" t="str">
        <x:v>All three tabs; reset state; keyboard</x:v>
      </x:c>
      <x:c r="N23" s="136" t="str">
        <x:v>Homepage redesign is present in current branch ancestry and automated project checks pass; final branding/responsive acceptance is intentionally deferred.</x:v>
      </x:c>
      <x:c r="O23" s="136" t="str">
        <x:v>Retain in final regression and comprehensive browser QA.</x:v>
      </x:c>
    </x:row>
    <x:row r="24">
      <x:c r="A24" s="135" t="str">
        <x:v>JW-020</x:v>
      </x:c>
      <x:c r="B24" s="135" t="str">
        <x:v>Homepage &amp; Global UI</x:v>
      </x:c>
      <x:c r="C24" s="135" t="str">
        <x:v>Homepage primary search</x:v>
      </x:c>
      <x:c r="D24" s="136" t="str">
        <x:v>Make/model/category and location selectors with real routes</x:v>
      </x:c>
      <x:c r="E24" s="136" t="str">
        <x:v>Signed V1</x:v>
      </x:c>
      <x:c r="F24" s="136" t="str">
        <x:v>Completed</x:v>
      </x:c>
      <x:c r="G24" s="137" t="n">
        <x:v>1</x:v>
      </x:c>
      <x:c r="H24" s="136" t="str">
        <x:v>Critical</x:v>
      </x:c>
      <x:c r="I24" s="136" t="str">
        <x:v>Stage 0</x:v>
      </x:c>
      <x:c r="J24" s="136" t="str">
        <x:v>Unassigned</x:v>
      </x:c>
      <x:c r="K24" s="136" t="str">
        <x:v>Search route parser</x:v>
      </x:c>
      <x:c r="L24" s="136" t="str">
        <x:v>Every selection produces a canonical working results URL and no fake counts.</x:v>
      </x:c>
      <x:c r="M24" s="136" t="str">
        <x:v>Cars/bikes/parts combinations; empty selection</x:v>
      </x:c>
      <x:c r="N24" s="136" t="str">
        <x:v>Homepage redesign is present in current branch ancestry and automated project checks pass; final branding/responsive acceptance is intentionally deferred.</x:v>
      </x:c>
      <x:c r="O24" s="136" t="str">
        <x:v>Retain in final regression and comprehensive browser QA.</x:v>
      </x:c>
    </x:row>
    <x:row r="25">
      <x:c r="A25" s="135" t="str">
        <x:v>JW-021</x:v>
      </x:c>
      <x:c r="B25" s="135" t="str">
        <x:v>Homepage &amp; Global UI</x:v>
      </x:c>
      <x:c r="C25" s="135" t="str">
        <x:v>Homepage secondary filters</x:v>
      </x:c>
      <x:c r="D25" s="136" t="str">
        <x:v>Minimum/maximum price and model year</x:v>
      </x:c>
      <x:c r="E25" s="136" t="str">
        <x:v>Signed V1</x:v>
      </x:c>
      <x:c r="F25" s="136" t="str">
        <x:v>Completed</x:v>
      </x:c>
      <x:c r="G25" s="137" t="n">
        <x:v>1</x:v>
      </x:c>
      <x:c r="H25" s="136" t="str">
        <x:v>High</x:v>
      </x:c>
      <x:c r="I25" s="136" t="str">
        <x:v>Stage 0</x:v>
      </x:c>
      <x:c r="J25" s="136" t="str">
        <x:v>Unassigned</x:v>
      </x:c>
      <x:c r="K25" s="136" t="str">
        <x:v>Range parsing</x:v>
      </x:c>
      <x:c r="L25" s="136" t="str">
        <x:v>Valid ranges filter correctly; invalid/inverted inputs are handled clearly.</x:v>
      </x:c>
      <x:c r="M25" s="136" t="str">
        <x:v>Boundary; empty; inverted ranges; mobile drawer</x:v>
      </x:c>
      <x:c r="N25" s="136" t="str">
        <x:v>Homepage redesign is present in current branch ancestry and automated project checks pass; final branding/responsive acceptance is intentionally deferred.</x:v>
      </x:c>
      <x:c r="O25" s="136" t="str">
        <x:v>Retain in final regression and comprehensive browser QA.</x:v>
      </x:c>
    </x:row>
    <x:row r="26">
      <x:c r="A26" s="135" t="str">
        <x:v>JW-022</x:v>
      </x:c>
      <x:c r="B26" s="135" t="str">
        <x:v>Homepage &amp; Global UI</x:v>
      </x:c>
      <x:c r="C26" s="135" t="str">
        <x:v>Mobile more-filters panel</x:v>
      </x:c>
      <x:c r="D26" s="136" t="str">
        <x:v>Secondary filters collapsed on mobile</x:v>
      </x:c>
      <x:c r="E26" s="136" t="str">
        <x:v>Signed V1</x:v>
      </x:c>
      <x:c r="F26" s="136" t="str">
        <x:v>Completed</x:v>
      </x:c>
      <x:c r="G26" s="137" t="n">
        <x:v>1</x:v>
      </x:c>
      <x:c r="H26" s="136" t="str">
        <x:v>High</x:v>
      </x:c>
      <x:c r="I26" s="136" t="str">
        <x:v>Stage 0</x:v>
      </x:c>
      <x:c r="J26" s="136" t="str">
        <x:v>Unassigned</x:v>
      </x:c>
      <x:c r="K26" s="136" t="str">
        <x:v>Homepage filters</x:v>
      </x:c>
      <x:c r="L26" s="136" t="str">
        <x:v>Panel is discoverable, keyboard operable and preserves selected values.</x:v>
      </x:c>
      <x:c r="M26" s="136" t="str">
        <x:v>Mobile interaction; focus; screen reader</x:v>
      </x:c>
      <x:c r="N26" s="136" t="str">
        <x:v>Homepage redesign is present in current branch ancestry and automated project checks pass; final branding/responsive acceptance is intentionally deferred.</x:v>
      </x:c>
      <x:c r="O26" s="136" t="str">
        <x:v>Retain in final regression and comprehensive browser QA.</x:v>
      </x:c>
    </x:row>
    <x:row r="27">
      <x:c r="A27" s="135" t="str">
        <x:v>JW-023</x:v>
      </x:c>
      <x:c r="B27" s="135" t="str">
        <x:v>Homepage &amp; Global UI</x:v>
      </x:c>
      <x:c r="C27" s="135" t="str">
        <x:v>Browse by body type</x:v>
      </x:c>
      <x:c r="D27" s="136" t="str">
        <x:v>Swipeable car body-type navigation</x:v>
      </x:c>
      <x:c r="E27" s="136" t="str">
        <x:v>Signed V1</x:v>
      </x:c>
      <x:c r="F27" s="136" t="str">
        <x:v>Completed</x:v>
      </x:c>
      <x:c r="G27" s="137" t="n">
        <x:v>1</x:v>
      </x:c>
      <x:c r="H27" s="136" t="str">
        <x:v>Medium</x:v>
      </x:c>
      <x:c r="I27" s="136" t="str">
        <x:v>Stage 0</x:v>
      </x:c>
      <x:c r="J27" s="136" t="str">
        <x:v>Unassigned</x:v>
      </x:c>
      <x:c r="K27" s="136" t="str">
        <x:v>Body-type facet</x:v>
      </x:c>
      <x:c r="L27" s="136" t="str">
        <x:v>Each supported body type opens the correct filtered results.</x:v>
      </x:c>
      <x:c r="M27" s="136" t="str">
        <x:v>Every displayed body type; horizontal swipe</x:v>
      </x:c>
      <x:c r="N27" s="136" t="str">
        <x:v>Eight distinct optimized WebP body-type images were visually approved by owner and pushed in 936baee; branding regression checks pass.</x:v>
      </x:c>
      <x:c r="O27" s="136" t="str">
        <x:v>Retain all eight browse cards in final responsive and link regression QA.</x:v>
      </x:c>
    </x:row>
    <x:row r="28">
      <x:c r="A28" s="135" t="str">
        <x:v>JW-024</x:v>
      </x:c>
      <x:c r="B28" s="135" t="str">
        <x:v>Homepage &amp; Global UI</x:v>
      </x:c>
      <x:c r="C28" s="135" t="str">
        <x:v>Latest listings</x:v>
      </x:c>
      <x:c r="D28" s="136" t="str">
        <x:v>Cars, bikes and parts tabs with genuine active inventory</x:v>
      </x:c>
      <x:c r="E28" s="136" t="str">
        <x:v>Signed V1</x:v>
      </x:c>
      <x:c r="F28" s="136" t="str">
        <x:v>Completed</x:v>
      </x:c>
      <x:c r="G28" s="137" t="n">
        <x:v>1</x:v>
      </x:c>
      <x:c r="H28" s="136" t="str">
        <x:v>High</x:v>
      </x:c>
      <x:c r="I28" s="136" t="str">
        <x:v>Stage 0</x:v>
      </x:c>
      <x:c r="J28" s="136" t="str">
        <x:v>Unassigned</x:v>
      </x:c>
      <x:c r="K28" s="136" t="str">
        <x:v>Active listings</x:v>
      </x:c>
      <x:c r="L28" s="136" t="str">
        <x:v>Shows up to eight genuine active listings per vertical and accurate empty states.</x:v>
      </x:c>
      <x:c r="M28" s="136" t="str">
        <x:v>Data states; tab switching; card links</x:v>
      </x:c>
      <x:c r="N28" s="136" t="str">
        <x:v>Homepage redesign is present in current branch ancestry and automated project checks pass; final branding/responsive acceptance is intentionally deferred.</x:v>
      </x:c>
      <x:c r="O28" s="136" t="str">
        <x:v>Retain in final regression and comprehensive browser QA.</x:v>
      </x:c>
    </x:row>
    <x:row r="29">
      <x:c r="A29" s="135" t="str">
        <x:v>JW-025</x:v>
      </x:c>
      <x:c r="B29" s="135" t="str">
        <x:v>Homepage &amp; Global UI</x:v>
      </x:c>
      <x:c r="C29" s="135" t="str">
        <x:v>Verified dealers section</x:v>
      </x:c>
      <x:c r="D29" s="136" t="str">
        <x:v>Show only records with verifiedAt and accurate live listing counts</x:v>
      </x:c>
      <x:c r="E29" s="136" t="str">
        <x:v>Signed V1</x:v>
      </x:c>
      <x:c r="F29" s="136" t="str">
        <x:v>Completed</x:v>
      </x:c>
      <x:c r="G29" s="137" t="n">
        <x:v>1</x:v>
      </x:c>
      <x:c r="H29" s="136" t="str">
        <x:v>High</x:v>
      </x:c>
      <x:c r="I29" s="136" t="str">
        <x:v>Stage 0</x:v>
      </x:c>
      <x:c r="J29" s="136" t="str">
        <x:v>Unassigned</x:v>
      </x:c>
      <x:c r="K29" s="136" t="str">
        <x:v>Dealer verification data</x:v>
      </x:c>
      <x:c r="L29" s="136" t="str">
        <x:v>No unverified dealer receives a verified badge; section hides when empty.</x:v>
      </x:c>
      <x:c r="M29" s="136" t="str">
        <x:v>Verified/unverified/empty data cases</x:v>
      </x:c>
      <x:c r="N29" s="136" t="str">
        <x:v>8 Oct review #3: verified homepage dealers require an open, unbanned owner. Close/restore/ban browser regression checks homepage, storefront and directory; counts use public inventory eligibility.</x:v>
      </x:c>
      <x:c r="O29" s="136" t="str">
        <x:v>Retain in final regression and comprehensive browser QA.</x:v>
      </x:c>
    </x:row>
    <x:row r="30">
      <x:c r="A30" s="135" t="str">
        <x:v>JW-026</x:v>
      </x:c>
      <x:c r="B30" s="135" t="str">
        <x:v>Homepage &amp; Global UI</x:v>
      </x:c>
      <x:c r="C30" s="135" t="str">
        <x:v>Inspection service section</x:v>
      </x:c>
      <x:c r="D30" s="136" t="str">
        <x:v>Request-based service card linked to /inspection</x:v>
      </x:c>
      <x:c r="E30" s="136" t="str">
        <x:v>Signed V1</x:v>
      </x:c>
      <x:c r="F30" s="136" t="str">
        <x:v>Completed</x:v>
      </x:c>
      <x:c r="G30" s="137" t="n">
        <x:v>1</x:v>
      </x:c>
      <x:c r="H30" s="136" t="str">
        <x:v>Medium</x:v>
      </x:c>
      <x:c r="I30" s="136" t="str">
        <x:v>Stage 0</x:v>
      </x:c>
      <x:c r="J30" s="136" t="str">
        <x:v>Unassigned</x:v>
      </x:c>
      <x:c r="K30" s="136" t="str">
        <x:v>Inspection route</x:v>
      </x:c>
      <x:c r="L30" s="136" t="str">
        <x:v>Copy makes no promise of automatic booking, pricing, scoring or payment.</x:v>
      </x:c>
      <x:c r="M30" s="136" t="str">
        <x:v>Link; copy review; responsive</x:v>
      </x:c>
      <x:c r="N30" s="136" t="str">
        <x:v>Homepage redesign is present in current branch ancestry and automated project checks pass; final branding/responsive acceptance is intentionally deferred.</x:v>
      </x:c>
      <x:c r="O30" s="136" t="str">
        <x:v>Retain in final regression and comprehensive browser QA.</x:v>
      </x:c>
    </x:row>
    <x:row r="31">
      <x:c r="A31" s="135" t="str">
        <x:v>JW-027</x:v>
      </x:c>
      <x:c r="B31" s="135" t="str">
        <x:v>Homepage &amp; Global UI</x:v>
      </x:c>
      <x:c r="C31" s="135" t="str">
        <x:v>Sell banner</x:v>
      </x:c>
      <x:c r="D31" s="136" t="str">
        <x:v>Post an Ad conversion banner</x:v>
      </x:c>
      <x:c r="E31" s="136" t="str">
        <x:v>Signed V1</x:v>
      </x:c>
      <x:c r="F31" s="136" t="str">
        <x:v>Completed</x:v>
      </x:c>
      <x:c r="G31" s="137" t="n">
        <x:v>1</x:v>
      </x:c>
      <x:c r="H31" s="136" t="str">
        <x:v>Medium</x:v>
      </x:c>
      <x:c r="I31" s="136" t="str">
        <x:v>Stage 0</x:v>
      </x:c>
      <x:c r="J31" s="136" t="str">
        <x:v>Unassigned</x:v>
      </x:c>
      <x:c r="K31" s="136" t="str">
        <x:v>Sell route</x:v>
      </x:c>
      <x:c r="L31" s="136" t="str">
        <x:v>CTA opens the working listing creation route and remains prominent on mobile.</x:v>
      </x:c>
      <x:c r="M31" s="136" t="str">
        <x:v>Link; responsive; contrast</x:v>
      </x:c>
      <x:c r="N31" s="136" t="str">
        <x:v>Optimized dark-sedan seller spotlight and reduced-motion fallback were visually approved by owner and pushed in 936baee.</x:v>
      </x:c>
      <x:c r="O31" s="136" t="str">
        <x:v>Retain banner readability and cropping in final responsive QA.</x:v>
      </x:c>
    </x:row>
    <x:row r="32">
      <x:c r="A32" s="135" t="str">
        <x:v>JW-028</x:v>
      </x:c>
      <x:c r="B32" s="135" t="str">
        <x:v>Homepage &amp; Global UI</x:v>
      </x:c>
      <x:c r="C32" s="135" t="str">
        <x:v>How it works</x:v>
      </x:c>
      <x:c r="D32" s="136" t="str">
        <x:v>Search, review and direct seller contact steps</x:v>
      </x:c>
      <x:c r="E32" s="136" t="str">
        <x:v>Signed V1</x:v>
      </x:c>
      <x:c r="F32" s="136" t="str">
        <x:v>Completed</x:v>
      </x:c>
      <x:c r="G32" s="137" t="n">
        <x:v>1</x:v>
      </x:c>
      <x:c r="H32" s="136" t="str">
        <x:v>Low</x:v>
      </x:c>
      <x:c r="I32" s="136" t="str">
        <x:v>Stage 0</x:v>
      </x:c>
      <x:c r="J32" s="136" t="str">
        <x:v>Unassigned</x:v>
      </x:c>
      <x:c r="K32" s="136" t="str">
        <x:v>Core buyer workflow</x:v>
      </x:c>
      <x:c r="L32" s="136" t="str">
        <x:v>Wording only describes currently supported behavior.</x:v>
      </x:c>
      <x:c r="M32" s="136" t="str">
        <x:v>Content and responsive review</x:v>
      </x:c>
      <x:c r="N32" s="136" t="str">
        <x:v>Homepage redesign is present in current branch ancestry and automated project checks pass; final branding/responsive acceptance is intentionally deferred.</x:v>
      </x:c>
      <x:c r="O32" s="136" t="str">
        <x:v>Retain in final regression and comprehensive browser QA.</x:v>
      </x:c>
    </x:row>
    <x:row r="33">
      <x:c r="A33" s="135" t="str">
        <x:v>JW-029</x:v>
      </x:c>
      <x:c r="B33" s="135" t="str">
        <x:v>Homepage &amp; Global UI</x:v>
      </x:c>
      <x:c r="C33" s="135" t="str">
        <x:v>Trust and safety</x:v>
      </x:c>
      <x:c r="D33" s="136" t="str">
        <x:v>Dealer badges, moderation and reporting explanation</x:v>
      </x:c>
      <x:c r="E33" s="136" t="str">
        <x:v>Signed V1</x:v>
      </x:c>
      <x:c r="F33" s="136" t="str">
        <x:v>Completed</x:v>
      </x:c>
      <x:c r="G33" s="137" t="n">
        <x:v>1</x:v>
      </x:c>
      <x:c r="H33" s="136" t="str">
        <x:v>Medium</x:v>
      </x:c>
      <x:c r="I33" s="136" t="str">
        <x:v>Stage 0</x:v>
      </x:c>
      <x:c r="J33" s="136" t="str">
        <x:v>Unassigned</x:v>
      </x:c>
      <x:c r="K33" s="136" t="str">
        <x:v>Trust workflows</x:v>
      </x:c>
      <x:c r="L33" s="136" t="str">
        <x:v>Does not claim every listing is verified or inspected.</x:v>
      </x:c>
      <x:c r="M33" s="136" t="str">
        <x:v>Content accuracy; link checks</x:v>
      </x:c>
      <x:c r="N33" s="136" t="str">
        <x:v>Homepage redesign is present in current branch ancestry and automated project checks pass; final branding/responsive acceptance is intentionally deferred.</x:v>
      </x:c>
      <x:c r="O33" s="136" t="str">
        <x:v>Retain in final regression and comprehensive browser QA.</x:v>
      </x:c>
    </x:row>
    <x:row r="34">
      <x:c r="A34" s="135" t="str">
        <x:v>JW-030</x:v>
      </x:c>
      <x:c r="B34" s="135" t="str">
        <x:v>Homepage &amp; Global UI</x:v>
      </x:c>
      <x:c r="C34" s="135" t="str">
        <x:v>Footer</x:v>
      </x:c>
      <x:c r="D34" s="136" t="str">
        <x:v>Marketplace/service links and Tech Orbit Systems attribution</x:v>
      </x:c>
      <x:c r="E34" s="136" t="str">
        <x:v>Signed V1</x:v>
      </x:c>
      <x:c r="F34" s="136" t="str">
        <x:v>Completed</x:v>
      </x:c>
      <x:c r="G34" s="137" t="n">
        <x:v>1</x:v>
      </x:c>
      <x:c r="H34" s="136" t="str">
        <x:v>Medium</x:v>
      </x:c>
      <x:c r="I34" s="136" t="str">
        <x:v>Stage 0</x:v>
      </x:c>
      <x:c r="J34" s="136" t="str">
        <x:v>Unassigned</x:v>
      </x:c>
      <x:c r="K34" s="136" t="str">
        <x:v>Available routes</x:v>
      </x:c>
      <x:c r="L34" s="136" t="str">
        <x:v>No dead links; Tech Orbit Systems opens https://techorbitsystems.com/ safely.</x:v>
      </x:c>
      <x:c r="M34" s="136" t="str">
        <x:v>All links; external rel attributes; mobile</x:v>
      </x:c>
      <x:c r="N34" s="136" t="str">
        <x:v>Homepage redesign is present in current branch ancestry and automated project checks pass; final branding/responsive acceptance is intentionally deferred.</x:v>
      </x:c>
      <x:c r="O34" s="136" t="str">
        <x:v>Retain in final regression and comprehensive browser QA.</x:v>
      </x:c>
    </x:row>
    <x:row r="35">
      <x:c r="A35" s="135" t="str">
        <x:v>JW-031</x:v>
      </x:c>
      <x:c r="B35" s="135" t="str">
        <x:v>Homepage &amp; Global UI</x:v>
      </x:c>
      <x:c r="C35" s="135" t="str">
        <x:v>Recently viewed section</x:v>
      </x:c>
      <x:c r="D35" s="136" t="str">
        <x:v>Conditional row based on visitor history</x:v>
      </x:c>
      <x:c r="E35" s="136" t="str">
        <x:v>Signed V1</x:v>
      </x:c>
      <x:c r="F35" s="136" t="str">
        <x:v>Completed</x:v>
      </x:c>
      <x:c r="G35" s="137" t="n">
        <x:v>1</x:v>
      </x:c>
      <x:c r="H35" s="136" t="str">
        <x:v>Medium</x:v>
      </x:c>
      <x:c r="I35" s="136" t="str">
        <x:v>Stage 3</x:v>
      </x:c>
      <x:c r="J35" s="136" t="str">
        <x:v>Unassigned</x:v>
      </x:c>
      <x:c r="K35" s="136" t="str">
        <x:v>Recently viewed persistence</x:v>
      </x:c>
      <x:c r="L35" s="136" t="str">
        <x:v>Section appears only with valid history and excludes removed/private listings.</x:v>
      </x:c>
      <x:c r="M35" s="136" t="str">
        <x:v>Anonymous/auth users; empty; stale items</x:v>
      </x:c>
      <x:c r="N35" s="136" t="str">
        <x:v>Recently viewed and saved-search prompt UI are implemented in the buyer discovery package.</x:v>
      </x:c>
      <x:c r="O35" s="136" t="str">
        <x:v>Retain in final regression and comprehensive browser QA.</x:v>
      </x:c>
    </x:row>
    <x:row r="36">
      <x:c r="A36" s="135" t="str">
        <x:v>JW-032</x:v>
      </x:c>
      <x:c r="B36" s="135" t="str">
        <x:v>Homepage &amp; Global UI</x:v>
      </x:c>
      <x:c r="C36" s="135" t="str">
        <x:v>Saved search prompt</x:v>
      </x:c>
      <x:c r="D36" s="136" t="str">
        <x:v>Save current search and receive matching alerts</x:v>
      </x:c>
      <x:c r="E36" s="136" t="str">
        <x:v>Signed V1</x:v>
      </x:c>
      <x:c r="F36" s="136" t="str">
        <x:v>Completed</x:v>
      </x:c>
      <x:c r="G36" s="137" t="n">
        <x:v>1</x:v>
      </x:c>
      <x:c r="H36" s="136" t="str">
        <x:v>Medium</x:v>
      </x:c>
      <x:c r="I36" s="136" t="str">
        <x:v>Stage 3</x:v>
      </x:c>
      <x:c r="J36" s="136" t="str">
        <x:v>Unassigned</x:v>
      </x:c>
      <x:c r="K36" s="136" t="str">
        <x:v>Saved search UI and alert engine</x:v>
      </x:c>
      <x:c r="L36" s="136" t="str">
        <x:v>Prompt creates a saved search and shows clear alert frequency/consent.</x:v>
      </x:c>
      <x:c r="M36" s="136" t="str">
        <x:v>Auth redirect; save; duplicate; alert delivery</x:v>
      </x:c>
      <x:c r="N36" s="136" t="str">
        <x:v>Recently viewed and saved-search prompt UI are implemented in the buyer discovery package.</x:v>
      </x:c>
      <x:c r="O36" s="136" t="str">
        <x:v>Retain in final regression and comprehensive browser QA.</x:v>
      </x:c>
    </x:row>
    <x:row r="37">
      <x:c r="A37" s="135" t="str">
        <x:v>JW-033</x:v>
      </x:c>
      <x:c r="B37" s="135" t="str">
        <x:v>Homepage &amp; Global UI</x:v>
      </x:c>
      <x:c r="C37" s="135" t="str">
        <x:v>Sell My Car Assistance card</x:v>
      </x:c>
      <x:c r="D37" s="136" t="str">
        <x:v>Second approved assistance service</x:v>
      </x:c>
      <x:c r="E37" s="136" t="str">
        <x:v>Signed V1</x:v>
      </x:c>
      <x:c r="F37" s="136" t="str">
        <x:v>Completed</x:v>
      </x:c>
      <x:c r="G37" s="137" t="n">
        <x:v>1</x:v>
      </x:c>
      <x:c r="H37" s="136" t="str">
        <x:v>High</x:v>
      </x:c>
      <x:c r="I37" s="136" t="str">
        <x:v>Stage 5</x:v>
      </x:c>
      <x:c r="J37" s="136" t="str">
        <x:v>Unassigned</x:v>
      </x:c>
      <x:c r="K37" s="136" t="str">
        <x:v>Sell My Car workflow</x:v>
      </x:c>
      <x:c r="L37" s="136" t="str">
        <x:v>Card links to a complete request flow with admin follow-up.</x:v>
      </x:c>
      <x:c r="M37" s="136" t="str">
        <x:v>Submission; validation; admin status</x:v>
      </x:c>
      <x:c r="N37" s="136" t="str">
        <x:v>Sell My Car Assistance homepage entry and request workflow are implemented.</x:v>
      </x:c>
      <x:c r="O37" s="136" t="str">
        <x:v>Retain in final regression and comprehensive browser QA.</x:v>
      </x:c>
    </x:row>
    <x:row r="38">
      <x:c r="A38" s="135" t="str">
        <x:v>JW-034</x:v>
      </x:c>
      <x:c r="B38" s="135" t="str">
        <x:v>Homepage &amp; Global UI</x:v>
      </x:c>
      <x:c r="C38" s="135" t="str">
        <x:v>Homepage accessibility</x:v>
      </x:c>
      <x:c r="D38" s="136" t="str">
        <x:v>Keyboard, focus, landmarks, labels and contrast</x:v>
      </x:c>
      <x:c r="E38" s="136" t="str">
        <x:v>Signed V1</x:v>
      </x:c>
      <x:c r="F38" s="136" t="str">
        <x:v>Partially Implemented</x:v>
      </x:c>
      <x:c r="G38" s="137" t="n">
        <x:v>0.97</x:v>
      </x:c>
      <x:c r="H38" s="136" t="str">
        <x:v>High</x:v>
      </x:c>
      <x:c r="I38" s="136" t="str">
        <x:v>Stage 6</x:v>
      </x:c>
      <x:c r="J38" s="136" t="str">
        <x:v>Unassigned</x:v>
      </x:c>
      <x:c r="K38" s="136" t="str">
        <x:v>Merged UI</x:v>
      </x:c>
      <x:c r="L38" s="136" t="str">
        <x:v>WCAG-oriented manual and automated audit finds no critical issues.</x:v>
      </x:c>
      <x:c r="M38" s="136" t="str">
        <x:v>axe; keyboard-only; zoom 200%; contrast</x:v>
      </x:c>
      <x:c r="N38" s="136" t="str">
        <x:v>Automated axe-core audit covers 34 public, seller, dealer, administrator and vehicle-detail routes on desktop/mobile with no violations. Forms, landmarks, listing detail CTA, recent-history text and customer histories now pass contrast/label checks. Keyboard skip link passes; homepage visuals remain owner-approved.</x:v>
      </x:c>
      <x:c r="O38" s="136" t="str">
        <x:v>Complete manual screen-reader, keyboard, zoom and reduced-motion review on real devices during launch acceptance.</x:v>
      </x:c>
    </x:row>
    <x:row r="39">
      <x:c r="A39" s="135" t="str">
        <x:v>JW-035</x:v>
      </x:c>
      <x:c r="B39" s="135" t="str">
        <x:v>Homepage &amp; Global UI</x:v>
      </x:c>
      <x:c r="C39" s="135" t="str">
        <x:v>Responsive visual QA</x:v>
      </x:c>
      <x:c r="D39" s="136" t="str">
        <x:v>Desktop, tablet and mobile review with real data</x:v>
      </x:c>
      <x:c r="E39" s="136" t="str">
        <x:v>Signed V1</x:v>
      </x:c>
      <x:c r="F39" s="136" t="str">
        <x:v>Partially Implemented</x:v>
      </x:c>
      <x:c r="G39" s="137" t="n">
        <x:v>0.95</x:v>
      </x:c>
      <x:c r="H39" s="136" t="str">
        <x:v>High</x:v>
      </x:c>
      <x:c r="I39" s="136" t="str">
        <x:v>Stage 0</x:v>
      </x:c>
      <x:c r="J39" s="136" t="str">
        <x:v>QA</x:v>
      </x:c>
      <x:c r="K39" s="136" t="str">
        <x:v>Local branch preview</x:v>
      </x:c>
      <x:c r="L39" s="136" t="str">
        <x:v>No clipping, overflow, overlap or unusable tap targets at agreed viewports.</x:v>
      </x:c>
      <x:c r="M39" s="136" t="str">
        <x:v>1440, 1024, 768, 414, 390, 360 px</x:v>
      </x:c>
      <x:c r="N39" s="136" t="str">
        <x:v>Desktop/mobile dealer checks and tablet 1024x768 checks pass across home, cars, bikes, parts, dealers and login at 200% text size. Fixed header/footer overflow. Reduced-motion hero/sell visuals are static. Owner-approved homepage remains in place.</x:v>
      </x:c>
      <x:c r="O39" s="136" t="str">
        <x:v>Real-device, camera/file picker, screen-reader and slow-network HTTPS acceptance remain parked for launch.</x:v>
      </x:c>
    </x:row>
    <x:row r="40">
      <x:c r="A40" s="135" t="str">
        <x:v>JW-036</x:v>
      </x:c>
      <x:c r="B40" s="135" t="str">
        <x:v>Authentication</x:v>
      </x:c>
      <x:c r="C40" s="135" t="str">
        <x:v>User registration</x:v>
      </x:c>
      <x:c r="D40" s="136" t="str">
        <x:v>Name, email, optional Pakistani mobile number and password registration with verified email before sign-in</x:v>
      </x:c>
      <x:c r="E40" s="136" t="str">
        <x:v>Signed V1</x:v>
      </x:c>
      <x:c r="F40" s="136" t="str">
        <x:v>Completed</x:v>
      </x:c>
      <x:c r="G40" s="137" t="n">
        <x:v>1</x:v>
      </x:c>
      <x:c r="H40" s="136" t="str">
        <x:v>Critical</x:v>
      </x:c>
      <x:c r="I40" s="136" t="str">
        <x:v>Stage 1</x:v>
      </x:c>
      <x:c r="J40" s="136" t="str">
        <x:v>Unassigned</x:v>
      </x:c>
      <x:c r="K40" s="136" t="str">
        <x:v>Users table</x:v>
      </x:c>
      <x:c r="L40" s="136" t="str">
        <x:v>Valid unique user receives verification email, verifies once and can then sign in; invalid/duplicate data returns safe field errors.</x:v>
      </x:c>
      <x:c r="M40" s="136" t="str">
        <x:v>Happy path; duplicates; invalid phone/email/password; DB failure</x:v>
      </x:c>
      <x:c r="N40" s="136" t="str">
        <x:v>Desktop/mobile Chromium and isolated PostgreSQL confirm registration, email verification, one-use and expiry checks, and no session before verification; duplicate email and malformed name/password are rejected without a new user.</x:v>
      </x:c>
      <x:c r="O40" s="136" t="str">
        <x:v>Production email provider configuration and final live browser acceptance remain open; direct-action invalid email/phone and DB-failure cases remain in security regression.</x:v>
      </x:c>
    </x:row>
    <x:row r="41">
      <x:c r="A41" s="135" t="str">
        <x:v>JW-037</x:v>
      </x:c>
      <x:c r="B41" s="135" t="str">
        <x:v>Authentication</x:v>
      </x:c>
      <x:c r="C41" s="135" t="str">
        <x:v>User login</x:v>
      </x:c>
      <x:c r="D41" s="136" t="str">
        <x:v>Mobile-number and password authentication</x:v>
      </x:c>
      <x:c r="E41" s="136" t="str">
        <x:v>Signed V1</x:v>
      </x:c>
      <x:c r="F41" s="136" t="str">
        <x:v>Completed</x:v>
      </x:c>
      <x:c r="G41" s="137" t="n">
        <x:v>1</x:v>
      </x:c>
      <x:c r="H41" s="136" t="str">
        <x:v>Critical</x:v>
      </x:c>
      <x:c r="I41" s="136" t="str">
        <x:v>Stage 1</x:v>
      </x:c>
      <x:c r="J41" s="136" t="str">
        <x:v>Unassigned</x:v>
      </x:c>
      <x:c r="K41" s="136" t="str">
        <x:v>Registered account</x:v>
      </x:c>
      <x:c r="L41" s="136" t="str">
        <x:v>Correct credentials create a session; wrong/banned credentials reveal no sensitive distinction.</x:v>
      </x:c>
      <x:c r="M41" s="136" t="str">
        <x:v>Valid; wrong password; unknown user; banned user</x:v>
      </x:c>
      <x:c r="N41" s="136" t="str">
        <x:v>Password login has timing protection and PostgreSQL rate limits. Desktop/mobile tests cover valid, invalid, banned and unverified accounts, retry limits and password-reset session revocation.</x:v>
      </x:c>
      <x:c r="O41" s="136" t="str">
        <x:v>Retain CI regression; verify production cookie/origin/provider configuration at launch.</x:v>
      </x:c>
    </x:row>
    <x:row r="42">
      <x:c r="A42" s="135" t="str">
        <x:v>JW-038</x:v>
      </x:c>
      <x:c r="B42" s="135" t="str">
        <x:v>Authentication</x:v>
      </x:c>
      <x:c r="C42" s="135" t="str">
        <x:v>Logout</x:v>
      </x:c>
      <x:c r="D42" s="136" t="str">
        <x:v>Destroy server session and clear cookie</x:v>
      </x:c>
      <x:c r="E42" s="136" t="str">
        <x:v>Signed V1</x:v>
      </x:c>
      <x:c r="F42" s="136" t="str">
        <x:v>Completed</x:v>
      </x:c>
      <x:c r="G42" s="137" t="n">
        <x:v>1</x:v>
      </x:c>
      <x:c r="H42" s="136" t="str">
        <x:v>High</x:v>
      </x:c>
      <x:c r="I42" s="136" t="str">
        <x:v>Stage 1</x:v>
      </x:c>
      <x:c r="J42" s="136" t="str">
        <x:v>Unassigned</x:v>
      </x:c>
      <x:c r="K42" s="136" t="str">
        <x:v>Active session</x:v>
      </x:c>
      <x:c r="L42" s="136" t="str">
        <x:v>Logout invalidates the database session and returns to the homepage.</x:v>
      </x:c>
      <x:c r="M42" s="136" t="str">
        <x:v>Cookie/session deletion; repeated logout</x:v>
      </x:c>
      <x:c r="N42" s="136" t="str">
        <x:v>Account menu wires logoutAction.</x:v>
      </x:c>
      <x:c r="O42" s="136" t="str">
        <x:v>Add E2E test.</x:v>
      </x:c>
    </x:row>
    <x:row r="43">
      <x:c r="A43" s="135" t="str">
        <x:v>JW-039</x:v>
      </x:c>
      <x:c r="B43" s="135" t="str">
        <x:v>Authentication</x:v>
      </x:c>
      <x:c r="C43" s="135" t="str">
        <x:v>Session security</x:v>
      </x:c>
      <x:c r="D43" s="136" t="str">
        <x:v>Random token cookie with hashed token stored in database</x:v>
      </x:c>
      <x:c r="E43" s="136" t="str">
        <x:v>Signed V1</x:v>
      </x:c>
      <x:c r="F43" s="136" t="str">
        <x:v>Completed</x:v>
      </x:c>
      <x:c r="G43" s="137" t="n">
        <x:v>1</x:v>
      </x:c>
      <x:c r="H43" s="136" t="str">
        <x:v>Critical</x:v>
      </x:c>
      <x:c r="I43" s="136" t="str">
        <x:v>Stage 1</x:v>
      </x:c>
      <x:c r="J43" s="136" t="str">
        <x:v>Unassigned</x:v>
      </x:c>
      <x:c r="K43" s="136" t="str">
        <x:v>Session table</x:v>
      </x:c>
      <x:c r="L43" s="136" t="str">
        <x:v>Cookie is HTTP-only, SameSite=Lax and Secure in production; DB leak does not expose raw tokens.</x:v>
      </x:c>
      <x:c r="M43" s="136" t="str">
        <x:v>Cookie flags; expiry; tampered token</x:v>
      </x:c>
      <x:c r="N43" s="136" t="str">
        <x:v>Implemented in session.ts.</x:v>
      </x:c>
      <x:c r="O43" s="136" t="str">
        <x:v>Verify on HTTPS staging.</x:v>
      </x:c>
    </x:row>
    <x:row r="44">
      <x:c r="A44" s="135" t="str">
        <x:v>JW-040</x:v>
      </x:c>
      <x:c r="B44" s="135" t="str">
        <x:v>Authentication</x:v>
      </x:c>
      <x:c r="C44" s="135" t="str">
        <x:v>Session expiry</x:v>
      </x:c>
      <x:c r="D44" s="136" t="str">
        <x:v>Reject expired sessions and purge them through cron</x:v>
      </x:c>
      <x:c r="E44" s="136" t="str">
        <x:v>Signed V1</x:v>
      </x:c>
      <x:c r="F44" s="136" t="str">
        <x:v>Completed</x:v>
      </x:c>
      <x:c r="G44" s="137" t="n">
        <x:v>1</x:v>
      </x:c>
      <x:c r="H44" s="136" t="str">
        <x:v>High</x:v>
      </x:c>
      <x:c r="I44" s="136" t="str">
        <x:v>Stage 1</x:v>
      </x:c>
      <x:c r="J44" s="136" t="str">
        <x:v>Unassigned</x:v>
      </x:c>
      <x:c r="K44" s="136" t="str">
        <x:v>Cron scheduler</x:v>
      </x:c>
      <x:c r="L44" s="136" t="str">
        <x:v>Expired sessions cannot authenticate and scheduled purge runs reliably.</x:v>
      </x:c>
      <x:c r="M44" s="136" t="str">
        <x:v>Expired cookie; purge job auth; scheduler failure</x:v>
      </x:c>
      <x:c r="N44" s="136" t="str">
        <x:v>Account-management implementation includes session handling and secure password-reset flow; automated checks pass.</x:v>
      </x:c>
      <x:c r="O44" s="136" t="str">
        <x:v>Retain in final regression and comprehensive browser QA.</x:v>
      </x:c>
    </x:row>
    <x:row r="45">
      <x:c r="A45" s="135" t="str">
        <x:v>JW-041</x:v>
      </x:c>
      <x:c r="B45" s="135" t="str">
        <x:v>Authentication</x:v>
      </x:c>
      <x:c r="C45" s="135" t="str">
        <x:v>Safe post-login redirect</x:v>
      </x:c>
      <x:c r="D45" s="136" t="str">
        <x:v>Allow only same-site relative next destinations</x:v>
      </x:c>
      <x:c r="E45" s="136" t="str">
        <x:v>Signed V1</x:v>
      </x:c>
      <x:c r="F45" s="136" t="str">
        <x:v>Completed</x:v>
      </x:c>
      <x:c r="G45" s="137" t="n">
        <x:v>1</x:v>
      </x:c>
      <x:c r="H45" s="136" t="str">
        <x:v>High</x:v>
      </x:c>
      <x:c r="I45" s="136" t="str">
        <x:v>Stage 1</x:v>
      </x:c>
      <x:c r="J45" s="136" t="str">
        <x:v>Unassigned</x:v>
      </x:c>
      <x:c r="K45" s="136" t="str">
        <x:v>Login flow</x:v>
      </x:c>
      <x:c r="L45" s="136" t="str">
        <x:v>External or protocol-relative redirect values are rejected.</x:v>
      </x:c>
      <x:c r="M45" s="136" t="str">
        <x:v>Open-redirect payloads; valid internal paths</x:v>
      </x:c>
      <x:c r="N45" s="136" t="str">
        <x:v>8 Oct review #8: seven auth paths share bounded same-origin return-path validation. Backslash, encoded slash/control and foreign targets reject to /. Authenticated HTTP and helper regressions cover valid local paths.</x:v>
      </x:c>
      <x:c r="O45" s="136" t="str">
        <x:v>Add unit tests.</x:v>
      </x:c>
    </x:row>
    <x:row r="46">
      <x:c r="A46" s="135" t="str">
        <x:v>JW-042</x:v>
      </x:c>
      <x:c r="B46" s="135" t="str">
        <x:v>Authentication</x:v>
      </x:c>
      <x:c r="C46" s="135" t="str">
        <x:v>Password hashing</x:v>
      </x:c>
      <x:c r="D46" s="136" t="str">
        <x:v>Scrypt password storage and constant-time verification behavior</x:v>
      </x:c>
      <x:c r="E46" s="136" t="str">
        <x:v>Signed V1</x:v>
      </x:c>
      <x:c r="F46" s="136" t="str">
        <x:v>Completed</x:v>
      </x:c>
      <x:c r="G46" s="137" t="n">
        <x:v>1</x:v>
      </x:c>
      <x:c r="H46" s="136" t="str">
        <x:v>Critical</x:v>
      </x:c>
      <x:c r="I46" s="136" t="str">
        <x:v>Stage 1</x:v>
      </x:c>
      <x:c r="J46" s="136" t="str">
        <x:v>Unassigned</x:v>
      </x:c>
      <x:c r="K46" s="136" t="str">
        <x:v>Auth actions</x:v>
      </x:c>
      <x:c r="L46" s="136" t="str">
        <x:v>No plaintext password is stored or logged.</x:v>
      </x:c>
      <x:c r="M46" s="136" t="str">
        <x:v>Hash format; valid/invalid password; timing review</x:v>
      </x:c>
      <x:c r="N46" s="136" t="str">
        <x:v>Password utility is in use.</x:v>
      </x:c>
      <x:c r="O46" s="136" t="str">
        <x:v>Add security unit tests.</x:v>
      </x:c>
    </x:row>
    <x:row r="47">
      <x:c r="A47" s="135" t="str">
        <x:v>JW-043</x:v>
      </x:c>
      <x:c r="B47" s="135" t="str">
        <x:v>Authentication</x:v>
      </x:c>
      <x:c r="C47" s="135" t="str">
        <x:v>Forgot password</x:v>
      </x:c>
      <x:c r="D47" s="136" t="str">
        <x:v>Start account recovery using the approved secure channel</x:v>
      </x:c>
      <x:c r="E47" s="136" t="str">
        <x:v>Signed V1</x:v>
      </x:c>
      <x:c r="F47" s="136" t="str">
        <x:v>Completed</x:v>
      </x:c>
      <x:c r="G47" s="137" t="n">
        <x:v>1</x:v>
      </x:c>
      <x:c r="H47" s="136" t="str">
        <x:v>Critical</x:v>
      </x:c>
      <x:c r="I47" s="136" t="str">
        <x:v>Stage 2</x:v>
      </x:c>
      <x:c r="J47" s="136" t="str">
        <x:v>Unassigned</x:v>
      </x:c>
      <x:c r="K47" s="136" t="str">
        <x:v>Email delivery decision</x:v>
      </x:c>
      <x:c r="L47" s="136" t="str">
        <x:v>User can request recovery without revealing whether the account exists.</x:v>
      </x:c>
      <x:c r="M47" s="136" t="str">
        <x:v>Known/unknown account; throttling; expiry</x:v>
      </x:c>
      <x:c r="N47" s="136" t="str">
        <x:v>Desktop/mobile Chromium confirms recovery email link capture in isolated acceptance mode; unknown-account response remains non-enumerating in automated checks.</x:v>
      </x:c>
      <x:c r="O47" s="136" t="str">
        <x:v>Configure production email provider and complete live delivery acceptance; throttling remains in security regression.</x:v>
      </x:c>
    </x:row>
    <x:row r="48">
      <x:c r="A48" s="135" t="str">
        <x:v>JW-044</x:v>
      </x:c>
      <x:c r="B48" s="135" t="str">
        <x:v>Authentication</x:v>
      </x:c>
      <x:c r="C48" s="135" t="str">
        <x:v>Password reset</x:v>
      </x:c>
      <x:c r="D48" s="136" t="str">
        <x:v>Single-use expiring reset token and password update</x:v>
      </x:c>
      <x:c r="E48" s="136" t="str">
        <x:v>Signed V1</x:v>
      </x:c>
      <x:c r="F48" s="136" t="str">
        <x:v>Completed</x:v>
      </x:c>
      <x:c r="G48" s="137" t="n">
        <x:v>1</x:v>
      </x:c>
      <x:c r="H48" s="136" t="str">
        <x:v>Critical</x:v>
      </x:c>
      <x:c r="I48" s="136" t="str">
        <x:v>Stage 2</x:v>
      </x:c>
      <x:c r="J48" s="136" t="str">
        <x:v>Unassigned</x:v>
      </x:c>
      <x:c r="K48" s="136" t="str">
        <x:v>Forgot-password flow</x:v>
      </x:c>
      <x:c r="L48" s="136" t="str">
        <x:v>Valid token resets password, invalid/expired/reused token fails and old sessions are revoked.</x:v>
      </x:c>
      <x:c r="M48" s="136" t="str">
        <x:v>Token lifecycle; password policy; session revocation</x:v>
      </x:c>
      <x:c r="N48" s="136" t="str">
        <x:v>Desktop/mobile Chromium and isolated PostgreSQL confirm a single-use reset link, hashed token, expiry denial, existing-session revocation, old-password denial and new-password sign-in.</x:v>
      </x:c>
      <x:c r="O48" s="136" t="str">
        <x:v>Production email delivery and final live browser acceptance remain open.</x:v>
      </x:c>
    </x:row>
    <x:row r="49">
      <x:c r="A49" s="135" t="str">
        <x:v>JW-045</x:v>
      </x:c>
      <x:c r="B49" s="135" t="str">
        <x:v>Authentication</x:v>
      </x:c>
      <x:c r="C49" s="135" t="str">
        <x:v>Authentication rate limiting</x:v>
      </x:c>
      <x:c r="D49" s="136" t="str">
        <x:v>Throttle registration, login and recovery abuse</x:v>
      </x:c>
      <x:c r="E49" s="136" t="str">
        <x:v>Signed V1</x:v>
      </x:c>
      <x:c r="F49" s="136" t="str">
        <x:v>Partially Implemented</x:v>
      </x:c>
      <x:c r="G49" s="137" t="n">
        <x:v>0.97</x:v>
      </x:c>
      <x:c r="H49" s="136" t="str">
        <x:v>Critical</x:v>
      </x:c>
      <x:c r="I49" s="136" t="str">
        <x:v>Stage 1</x:v>
      </x:c>
      <x:c r="J49" s="136" t="str">
        <x:v>Unassigned</x:v>
      </x:c>
      <x:c r="K49" s="136" t="str">
        <x:v>Rate-limit store</x:v>
      </x:c>
      <x:c r="L49" s="136" t="str">
        <x:v>Limits apply by IP and account identifier without blocking normal users.</x:v>
      </x:c>
      <x:c r="M49" s="136" t="str">
        <x:v>Burst; distributed attempts; reset window; proxy headers</x:v>
      </x:c>
      <x:c r="N49" s="136" t="str">
        <x:v>Local/CI auth limiter and next-window recovery checks pass. Google auth initiation no longer prefetches; unavailable redirect uses configured site origin. Live Google provider, proxy thresholds and alerts remain.</x:v>
      </x:c>
      <x:c r="O49" s="136" t="str">
        <x:v>Verify Google provider path, trusted proxy IP headers, thresholds and alerting in staging.</x:v>
      </x:c>
    </x:row>
    <x:row r="50">
      <x:c r="A50" s="135" t="str">
        <x:v>JW-046</x:v>
      </x:c>
      <x:c r="B50" s="135" t="str">
        <x:v>Authentication</x:v>
      </x:c>
      <x:c r="C50" s="135" t="str">
        <x:v>CSRF and origin protection</x:v>
      </x:c>
      <x:c r="D50" s="136" t="str">
        <x:v>Verify state-changing browser actions cannot be submitted cross-site</x:v>
      </x:c>
      <x:c r="E50" s="136" t="str">
        <x:v>Signed V1</x:v>
      </x:c>
      <x:c r="F50" s="136" t="str">
        <x:v>Partially Implemented</x:v>
      </x:c>
      <x:c r="G50" s="137" t="n">
        <x:v>0.95</x:v>
      </x:c>
      <x:c r="H50" s="136" t="str">
        <x:v>Critical</x:v>
      </x:c>
      <x:c r="I50" s="136" t="str">
        <x:v>Stage 1</x:v>
      </x:c>
      <x:c r="J50" s="136" t="str">
        <x:v>Unassigned</x:v>
      </x:c>
      <x:c r="K50" s="136" t="str">
        <x:v>Deployment origin config</x:v>
      </x:c>
      <x:c r="L50" s="136" t="str">
        <x:v>All state-changing actions reject cross-origin requests and use appropriate cookie policy.</x:v>
      </x:c>
      <x:c r="M50" s="136" t="str">
        <x:v>Cross-origin forms; origin/host mismatch</x:v>
      </x:c>
      <x:c r="N50" s="136" t="str">
        <x:v>Configured scheme/host/port Origin checks reject foreign, opaque, path/userinfo and spoofed-Host origins; cross-site Fetch Metadata rejected. Browser direct seller action cross-origin replay rejected. Next server-action protection and upload route guard retained.</x:v>
      </x:c>
      <x:c r="O50" s="136" t="str">
        <x:v>Verify trusted proxy/public origin configuration and cross-origin rejection on HTTPS staging.</x:v>
      </x:c>
    </x:row>
    <x:row r="51">
      <x:c r="A51" s="135" t="str">
        <x:v>JW-047</x:v>
      </x:c>
      <x:c r="B51" s="135" t="str">
        <x:v>Authentication</x:v>
      </x:c>
      <x:c r="C51" s="135" t="str">
        <x:v>Account ban enforcement</x:v>
      </x:c>
      <x:c r="D51" s="136" t="str">
        <x:v>Blocked users cannot authenticate or retain usable sessions</x:v>
      </x:c>
      <x:c r="E51" s="136" t="str">
        <x:v>Signed V1</x:v>
      </x:c>
      <x:c r="F51" s="136" t="str">
        <x:v>Completed</x:v>
      </x:c>
      <x:c r="G51" s="137" t="n">
        <x:v>1</x:v>
      </x:c>
      <x:c r="H51" s="136" t="str">
        <x:v>High</x:v>
      </x:c>
      <x:c r="I51" s="136" t="str">
        <x:v>Stage 4</x:v>
      </x:c>
      <x:c r="J51" s="136" t="str">
        <x:v>Unassigned</x:v>
      </x:c>
      <x:c r="K51" s="136" t="str">
        <x:v>Admin ban control</x:v>
      </x:c>
      <x:c r="L51" s="136" t="str">
        <x:v>Banned users cannot login; existing sessions stop resolving.</x:v>
      </x:c>
      <x:c r="M51" s="136" t="str">
        <x:v>Login and active-session ban cases</x:v>
      </x:c>
      <x:c r="N51" s="136" t="str">
        <x:v>8 Oct risk #10: banned inventory excluded from public search/detail/media/contact, saved/recent ads, sitemap, linked inspection and alerts. Unban exposes only still-active ads. Distinct seller/buyer alert regression passes.</x:v>
      </x:c>
      <x:c r="O51" s="136" t="str">
        <x:v>Retain provider-independent browser regression; final live acceptance remains open.</x:v>
      </x:c>
    </x:row>
    <x:row r="52">
      <x:c r="A52" s="135" t="str">
        <x:v>JW-048</x:v>
      </x:c>
      <x:c r="B52" s="135" t="str">
        <x:v>Authentication</x:v>
      </x:c>
      <x:c r="C52" s="135" t="str">
        <x:v>Admin authorization</x:v>
      </x:c>
      <x:c r="D52" s="136" t="str">
        <x:v>Protect moderation routes using is_admin</x:v>
      </x:c>
      <x:c r="E52" s="136" t="str">
        <x:v>Signed V1</x:v>
      </x:c>
      <x:c r="F52" s="136" t="str">
        <x:v>Completed</x:v>
      </x:c>
      <x:c r="G52" s="137" t="n">
        <x:v>1</x:v>
      </x:c>
      <x:c r="H52" s="136" t="str">
        <x:v>Critical</x:v>
      </x:c>
      <x:c r="I52" s="136" t="str">
        <x:v>Stage 4</x:v>
      </x:c>
      <x:c r="J52" s="136" t="str">
        <x:v>Unassigned</x:v>
      </x:c>
      <x:c r="K52" s="136" t="str">
        <x:v>Admin account</x:v>
      </x:c>
      <x:c r="L52" s="136" t="str">
        <x:v>Non-admin users cannot access or invoke moderation actions.</x:v>
      </x:c>
      <x:c r="M52" s="136" t="str">
        <x:v>Anonymous; normal user; admin; direct action call</x:v>
      </x:c>
      <x:c r="N52" s="136" t="str">
        <x:v>Administrator routes/actions check role. Direct hide/remove/ban HTTP replay rejects seller and anonymous actors without DB/audit changes; identical administrator payload succeeds. CI run 37 passed.</x:v>
      </x:c>
      <x:c r="O52" s="136" t="str">
        <x:v>Extend dealer/service direct-action authorization under JW-166; retain existing administrator regressions.</x:v>
      </x:c>
    </x:row>
    <x:row r="53">
      <x:c r="A53" s="135" t="str">
        <x:v>JW-049</x:v>
      </x:c>
      <x:c r="B53" s="135" t="str">
        <x:v>Authentication</x:v>
      </x:c>
      <x:c r="C53" s="135" t="str">
        <x:v>Production administrator bootstrap</x:v>
      </x:c>
      <x:c r="D53" s="136" t="str">
        <x:v>Securely create the first admin without public seed credentials</x:v>
      </x:c>
      <x:c r="E53" s="136" t="str">
        <x:v>Signed V1</x:v>
      </x:c>
      <x:c r="F53" s="136" t="str">
        <x:v>Launch Configuration Pending</x:v>
      </x:c>
      <x:c r="G53" s="137" t="n">
        <x:v>0.9</x:v>
      </x:c>
      <x:c r="H53" s="136" t="str">
        <x:v>Critical</x:v>
      </x:c>
      <x:c r="I53" s="136" t="str">
        <x:v>Stage 6</x:v>
      </x:c>
      <x:c r="J53" s="136" t="str">
        <x:v>DevOps</x:v>
      </x:c>
      <x:c r="K53" s="136" t="str">
        <x:v>Production DB access</x:v>
      </x:c>
      <x:c r="L53" s="136" t="str">
        <x:v>Named administrator is created through a documented auditable process and no default password is committed.</x:v>
      </x:c>
      <x:c r="M53" s="136" t="str">
        <x:v>Access test; audit review</x:v>
      </x:c>
      <x:c r="N53" s="136" t="str">
        <x:v>Preview-first operator CLI and docs/ADMIN_BOOTSTRAP.md implemented. Explicit database-name confirmation, verified/unbanned unique account checks, no second-admin bootstrap, serialized concurrent attempts, atomic audit and session revocation, rollback and idempotency pass in isolated migrated-table tests. No production account was changed.</x:v>
      </x:c>
      <x:c r="O53" s="136" t="str">
        <x:v>At deployment, select the named verified owner, preview/apply on the intended production DB, reauthenticate and record operator/access review.</x:v>
      </x:c>
    </x:row>
    <x:row r="54">
      <x:c r="A54" s="135" t="str">
        <x:v>JW-050</x:v>
      </x:c>
      <x:c r="B54" s="135" t="str">
        <x:v>User Profiles</x:v>
      </x:c>
      <x:c r="C54" s="135" t="str">
        <x:v>Account details display</x:v>
      </x:c>
      <x:c r="D54" s="136" t="str">
        <x:v>Show signed-in identity in account navigation</x:v>
      </x:c>
      <x:c r="E54" s="136" t="str">
        <x:v>Signed V1</x:v>
      </x:c>
      <x:c r="F54" s="136" t="str">
        <x:v>Completed</x:v>
      </x:c>
      <x:c r="G54" s="137" t="n">
        <x:v>1</x:v>
      </x:c>
      <x:c r="H54" s="136" t="str">
        <x:v>Medium</x:v>
      </x:c>
      <x:c r="I54" s="136" t="str">
        <x:v>Stage 2</x:v>
      </x:c>
      <x:c r="J54" s="136" t="str">
        <x:v>Unassigned</x:v>
      </x:c>
      <x:c r="K54" s="136" t="str">
        <x:v>Authentication</x:v>
      </x:c>
      <x:c r="L54" s="136" t="str">
        <x:v>Signed-in name/phone appears without exposing credentials.</x:v>
      </x:c>
      <x:c r="M54" s="136" t="str">
        <x:v>Signed-in/out display; mobile</x:v>
      </x:c>
      <x:c r="N54" s="136" t="str">
        <x:v>AccountMenu is implemented.</x:v>
      </x:c>
      <x:c r="O54" s="136" t="str">
        <x:v>Retest with profile edits later.</x:v>
      </x:c>
    </x:row>
    <x:row r="55">
      <x:c r="A55" s="135" t="str">
        <x:v>JW-051</x:v>
      </x:c>
      <x:c r="B55" s="135" t="str">
        <x:v>User Profiles</x:v>
      </x:c>
      <x:c r="C55" s="135" t="str">
        <x:v>Profile editing</x:v>
      </x:c>
      <x:c r="D55" s="136" t="str">
        <x:v>Edit name, email, phone/contact details and avatar where approved</x:v>
      </x:c>
      <x:c r="E55" s="136" t="str">
        <x:v>Signed V1</x:v>
      </x:c>
      <x:c r="F55" s="136" t="str">
        <x:v>Completed</x:v>
      </x:c>
      <x:c r="G55" s="137" t="n">
        <x:v>1</x:v>
      </x:c>
      <x:c r="H55" s="136" t="str">
        <x:v>High</x:v>
      </x:c>
      <x:c r="I55" s="136" t="str">
        <x:v>Stage 2</x:v>
      </x:c>
      <x:c r="J55" s="136" t="str">
        <x:v>Unassigned</x:v>
      </x:c>
      <x:c r="K55" s="136" t="str">
        <x:v>Profile route and validation</x:v>
      </x:c>
      <x:c r="L55" s="136" t="str">
        <x:v>Owner can update fields; uniqueness and validation are enforced.</x:v>
      </x:c>
      <x:c r="M55" s="136" t="str">
        <x:v>Valid/invalid; duplicates; authorization; image</x:v>
      </x:c>
      <x:c r="N55" s="136" t="str">
        <x:v>Account profile editing and seller-facing profile behavior are implemented in current code.</x:v>
      </x:c>
      <x:c r="O55" s="136" t="str">
        <x:v>Retain in final regression and comprehensive browser QA.</x:v>
      </x:c>
    </x:row>
    <x:row r="56">
      <x:c r="A56" s="135" t="str">
        <x:v>JW-052</x:v>
      </x:c>
      <x:c r="B56" s="135" t="str">
        <x:v>User Profiles</x:v>
      </x:c>
      <x:c r="C56" s="135" t="str">
        <x:v>Seller public profile</x:v>
      </x:c>
      <x:c r="D56" s="136" t="str">
        <x:v>Public seller identity and active listing view</x:v>
      </x:c>
      <x:c r="E56" s="136" t="str">
        <x:v>Signed V1</x:v>
      </x:c>
      <x:c r="F56" s="136" t="str">
        <x:v>Completed</x:v>
      </x:c>
      <x:c r="G56" s="137" t="n">
        <x:v>1</x:v>
      </x:c>
      <x:c r="H56" s="136" t="str">
        <x:v>Medium</x:v>
      </x:c>
      <x:c r="I56" s="136" t="str">
        <x:v>Stage 2</x:v>
      </x:c>
      <x:c r="J56" s="136" t="str">
        <x:v>Unassigned</x:v>
      </x:c>
      <x:c r="K56" s="136" t="str">
        <x:v>Profile data and privacy decision</x:v>
      </x:c>
      <x:c r="L56" s="136" t="str">
        <x:v>Public page exposes only approved contact/profile data and live listings.</x:v>
      </x:c>
      <x:c r="M56" s="136" t="str">
        <x:v>Privacy; inactive listing exclusion; pagination</x:v>
      </x:c>
      <x:c r="N56" s="136" t="str">
        <x:v>Account profile editing and seller-facing profile behavior are implemented in current code.</x:v>
      </x:c>
      <x:c r="O56" s="136" t="str">
        <x:v>Retain in final regression and comprehensive browser QA.</x:v>
      </x:c>
    </x:row>
    <x:row r="57">
      <x:c r="A57" s="135" t="str">
        <x:v>JW-053</x:v>
      </x:c>
      <x:c r="B57" s="135" t="str">
        <x:v>User Profiles</x:v>
      </x:c>
      <x:c r="C57" s="135" t="str">
        <x:v>Manual seller verification</x:v>
      </x:c>
      <x:c r="D57" s="136" t="str">
        <x:v>Admin-controlled verified seller status and badge</x:v>
      </x:c>
      <x:c r="E57" s="136" t="str">
        <x:v>Excluded / Change Request</x:v>
      </x:c>
      <x:c r="F57" s="136" t="str">
        <x:v>Out of Scope / Removed</x:v>
      </x:c>
      <x:c r="G57" s="137" t="n">
        <x:v>0</x:v>
      </x:c>
      <x:c r="H57" s="136" t="str">
        <x:v>High</x:v>
      </x:c>
      <x:c r="I57" s="136" t="str">
        <x:v>Stage 4</x:v>
      </x:c>
      <x:c r="J57" s="136" t="str">
        <x:v>Product Owner</x:v>
      </x:c>
      <x:c r="K57" s="136" t="str">
        <x:v>Verification fields and admin UI</x:v>
      </x:c>
      <x:c r="L57" s="136" t="str">
        <x:v>Only authorized admins grant/revoke verification and actions are logged.</x:v>
      </x:c>
      <x:c r="M57" s="136" t="str">
        <x:v>Grant/revoke; badge accuracy; audit log</x:v>
      </x:c>
      <x:c r="N57" s="136" t="str">
        <x:v>Owner approved B1 on 4 October 2026: no ordinary-seller Verified Seller badge in V1. Removed by explicit owner decision, not implemented. Email/phone/vehicle ownership claims must not be inferred. Audited manual dealer verification remains separately implemented.</x:v>
      </x:c>
      <x:c r="O57" s="136" t="str">
        <x:v>No V1 implementation required. Any future individual-seller badge requires a new approved verification process and scope decision.</x:v>
      </x:c>
    </x:row>
    <x:row r="58">
      <x:c r="A58" s="135" t="str">
        <x:v>JW-054</x:v>
      </x:c>
      <x:c r="B58" s="135" t="str">
        <x:v>User Profiles</x:v>
      </x:c>
      <x:c r="C58" s="135" t="str">
        <x:v>Avatar upload</x:v>
      </x:c>
      <x:c r="D58" s="136" t="str">
        <x:v>Secure owner-controlled profile image</x:v>
      </x:c>
      <x:c r="E58" s="136" t="str">
        <x:v>Signed V1</x:v>
      </x:c>
      <x:c r="F58" s="136" t="str">
        <x:v>Completed</x:v>
      </x:c>
      <x:c r="G58" s="137" t="n">
        <x:v>1</x:v>
      </x:c>
      <x:c r="H58" s="136" t="str">
        <x:v>Low</x:v>
      </x:c>
      <x:c r="I58" s="136" t="str">
        <x:v>Stage 2</x:v>
      </x:c>
      <x:c r="J58" s="136" t="str">
        <x:v>Unassigned</x:v>
      </x:c>
      <x:c r="K58" s="136" t="str">
        <x:v>Profile editing and media ownership</x:v>
      </x:c>
      <x:c r="L58" s="136" t="str">
        <x:v>Accepted formats are validated and old assets handled safely.</x:v>
      </x:c>
      <x:c r="M58" s="136" t="str">
        <x:v>Upload types/size; authorization; replacement</x:v>
      </x:c>
      <x:c r="N58" s="136" t="str">
        <x:v>Owner-only avatar upload, replacement and removal are implemented with validated image storage. Fresh desktop/mobile Chromium tests upload twice, confirm distinct stored keys and visible profile images, then remove the photo and verify the account row is cleared. Account image write limit denial is also browser-tested.</x:v>
      </x:c>
      <x:c r="O58" s="136" t="str">
        <x:v>Local behavior is complete; verify Cloudflare media cleanup after the production image provider is configured.</x:v>
      </x:c>
    </x:row>
    <x:row r="59">
      <x:c r="A59" s="135" t="str">
        <x:v>JW-055</x:v>
      </x:c>
      <x:c r="B59" s="135" t="str">
        <x:v>Listing Creation</x:v>
      </x:c>
      <x:c r="C59" s="135" t="str">
        <x:v>Shared listing model</x:v>
      </x:c>
      <x:c r="D59" s="136" t="str">
        <x:v>Cars, bikes and auto parts share core seller, price, city, status and media fields</x:v>
      </x:c>
      <x:c r="E59" s="136" t="str">
        <x:v>Signed V1</x:v>
      </x:c>
      <x:c r="F59" s="136" t="str">
        <x:v>Completed</x:v>
      </x:c>
      <x:c r="G59" s="137" t="n">
        <x:v>1</x:v>
      </x:c>
      <x:c r="H59" s="136" t="str">
        <x:v>Critical</x:v>
      </x:c>
      <x:c r="I59" s="136" t="str">
        <x:v>Stage 2</x:v>
      </x:c>
      <x:c r="J59" s="136" t="str">
        <x:v>Unassigned</x:v>
      </x:c>
      <x:c r="K59" s="136" t="str">
        <x:v>Database</x:v>
      </x:c>
      <x:c r="L59" s="136" t="str">
        <x:v>All verticals can be represented without inconsistent duplicate common fields.</x:v>
      </x:c>
      <x:c r="M59" s="136" t="str">
        <x:v>Schema migration; relational integrity</x:v>
      </x:c>
      <x:c r="N59" s="136" t="str">
        <x:v>Shared listings table and vertical detail tables exist.</x:v>
      </x:c>
      <x:c r="O59" s="136" t="str">
        <x:v>Use same publishing service pattern for bikes and parts.</x:v>
      </x:c>
    </x:row>
    <x:row r="60">
      <x:c r="A60" s="135" t="str">
        <x:v>JW-056</x:v>
      </x:c>
      <x:c r="B60" s="135" t="str">
        <x:v>Listing Creation</x:v>
      </x:c>
      <x:c r="C60" s="135" t="str">
        <x:v>Car listing form</x:v>
      </x:c>
      <x:c r="D60" s="136" t="str">
        <x:v>Make/model/variant, year, mileage, location, price, condition details, features, description and photos</x:v>
      </x:c>
      <x:c r="E60" s="136" t="str">
        <x:v>Signed V1</x:v>
      </x:c>
      <x:c r="F60" s="136" t="str">
        <x:v>Completed</x:v>
      </x:c>
      <x:c r="G60" s="137" t="n">
        <x:v>1</x:v>
      </x:c>
      <x:c r="H60" s="136" t="str">
        <x:v>Critical</x:v>
      </x:c>
      <x:c r="I60" s="136" t="str">
        <x:v>Stage 2</x:v>
      </x:c>
      <x:c r="J60" s="136" t="str">
        <x:v>Unassigned</x:v>
      </x:c>
      <x:c r="K60" s="136" t="str">
        <x:v>Taxonomy and uploads</x:v>
      </x:c>
      <x:c r="L60" s="136" t="str">
        <x:v>Authenticated seller can submit a valid car with required data and one or more images.</x:v>
      </x:c>
      <x:c r="M60" s="136" t="str">
        <x:v>Happy path; all field validations; upload failures; mobile</x:v>
      </x:c>
      <x:c r="N60" s="136" t="str">
        <x:v>Car SellForm and action exist.</x:v>
      </x:c>
      <x:c r="O60" s="136" t="str">
        <x:v>Deep-test and correct publication behavior.</x:v>
      </x:c>
    </x:row>
    <x:row r="61">
      <x:c r="A61" s="135" t="str">
        <x:v>JW-057</x:v>
      </x:c>
      <x:c r="B61" s="135" t="str">
        <x:v>Listing Creation</x:v>
      </x:c>
      <x:c r="C61" s="135" t="str">
        <x:v>Car taxonomy cascade</x:v>
      </x:c>
      <x:c r="D61" s="136" t="str">
        <x:v>Make to model to variant and city to area selectors</x:v>
      </x:c>
      <x:c r="E61" s="136" t="str">
        <x:v>Signed V1</x:v>
      </x:c>
      <x:c r="F61" s="136" t="str">
        <x:v>Completed</x:v>
      </x:c>
      <x:c r="G61" s="137" t="n">
        <x:v>1</x:v>
      </x:c>
      <x:c r="H61" s="136" t="str">
        <x:v>High</x:v>
      </x:c>
      <x:c r="I61" s="136" t="str">
        <x:v>Stage 2</x:v>
      </x:c>
      <x:c r="J61" s="136" t="str">
        <x:v>Unassigned</x:v>
      </x:c>
      <x:c r="K61" s="136" t="str">
        <x:v>Taxonomy API</x:v>
      </x:c>
      <x:c r="L61" s="136" t="str">
        <x:v>Dependent selectors show only active valid children and reset stale choices.</x:v>
      </x:c>
      <x:c r="M61" s="136" t="str">
        <x:v>Cascade; empty states; invalid IDs; cache</x:v>
      </x:c>
      <x:c r="N61" s="136" t="str">
        <x:v>8 Oct review #6: car/bike publication validates active curated make/model/variant and matching vertical. Forged, invalid or inactive supplied variants cannot fall back to custom text. DB rollback and valid publication tested.</x:v>
      </x:c>
      <x:c r="O61" s="136" t="str">
        <x:v>Add integration/E2E tests.</x:v>
      </x:c>
    </x:row>
    <x:row r="62">
      <x:c r="A62" s="135" t="str">
        <x:v>JW-058</x:v>
      </x:c>
      <x:c r="B62" s="135" t="str">
        <x:v>Listing Creation</x:v>
      </x:c>
      <x:c r="C62" s="135" t="str">
        <x:v>Car server validation</x:v>
      </x:c>
      <x:c r="D62" s="136" t="str">
        <x:v>Validate ranges and curated variant IDs with user-facing messages</x:v>
      </x:c>
      <x:c r="E62" s="136" t="str">
        <x:v>Signed V1</x:v>
      </x:c>
      <x:c r="F62" s="136" t="str">
        <x:v>Completed</x:v>
      </x:c>
      <x:c r="G62" s="137" t="n">
        <x:v>1</x:v>
      </x:c>
      <x:c r="H62" s="136" t="str">
        <x:v>Critical</x:v>
      </x:c>
      <x:c r="I62" s="136" t="str">
        <x:v>Stage 2</x:v>
      </x:c>
      <x:c r="J62" s="136" t="str">
        <x:v>Unassigned</x:v>
      </x:c>
      <x:c r="K62" s="136" t="str">
        <x:v>Car form</x:v>
      </x:c>
      <x:c r="L62" s="136" t="str">
        <x:v>Server rejects manipulated/out-of-range input and displays field-specific messages.</x:v>
      </x:c>
      <x:c r="M62" s="136" t="str">
        <x:v>Boundary and tampered form tests</x:v>
      </x:c>
      <x:c r="N62" s="136" t="str">
        <x:v>Zod carListingSchema exists.</x:v>
      </x:c>
      <x:c r="O62" s="136" t="str">
        <x:v>Add test suite and reconcile exact proposal fields.</x:v>
      </x:c>
    </x:row>
    <x:row r="63">
      <x:c r="A63" s="135" t="str">
        <x:v>JW-059</x:v>
      </x:c>
      <x:c r="B63" s="135" t="str">
        <x:v>Listing Creation</x:v>
      </x:c>
      <x:c r="C63" s="135" t="str">
        <x:v>Car registration details</x:v>
      </x:c>
      <x:c r="D63" s="136" t="str">
        <x:v>Registration city, unregistered state, color, ownership and token fields</x:v>
      </x:c>
      <x:c r="E63" s="136" t="str">
        <x:v>Signed V1</x:v>
      </x:c>
      <x:c r="F63" s="136" t="str">
        <x:v>Completed</x:v>
      </x:c>
      <x:c r="G63" s="137" t="n">
        <x:v>1</x:v>
      </x:c>
      <x:c r="H63" s="136" t="str">
        <x:v>Medium</x:v>
      </x:c>
      <x:c r="I63" s="136" t="str">
        <x:v>Stage 2</x:v>
      </x:c>
      <x:c r="J63" s="136" t="str">
        <x:v>Unassigned</x:v>
      </x:c>
      <x:c r="K63" s="136" t="str">
        <x:v>Car form/schema</x:v>
      </x:c>
      <x:c r="L63" s="136" t="str">
        <x:v>Every agreed car field is captured consistently and conditional fields behave correctly.</x:v>
      </x:c>
      <x:c r="M63" s="136" t="str">
        <x:v>Registered/unregistered; auction sheet; token year</x:v>
      </x:c>
      <x:c r="N63" s="136" t="str">
        <x:v>Car create/edit forms expose registered city, last token paid year and auction grade conditionally. Server rejects conflicting unregistered/auction values. Desktop and mobile browser publication confirmed these fields in isolated PostgreSQL.</x:v>
      </x:c>
      <x:c r="O63" s="136" t="str">
        <x:v>Final owner review can be included in launch acceptance; no further implementation dependency.</x:v>
      </x:c>
    </x:row>
    <x:row r="64">
      <x:c r="A64" s="135" t="str">
        <x:v>JW-060</x:v>
      </x:c>
      <x:c r="B64" s="135" t="str">
        <x:v>Listing Creation</x:v>
      </x:c>
      <x:c r="C64" s="135" t="str">
        <x:v>Bike listing form</x:v>
      </x:c>
      <x:c r="D64" s="136" t="str">
        <x:v>Make/model/year, engine, mileage, city, condition, description and photos</x:v>
      </x:c>
      <x:c r="E64" s="136" t="str">
        <x:v>Signed V1</x:v>
      </x:c>
      <x:c r="F64" s="136" t="str">
        <x:v>Completed</x:v>
      </x:c>
      <x:c r="G64" s="137" t="n">
        <x:v>1</x:v>
      </x:c>
      <x:c r="H64" s="136" t="str">
        <x:v>Critical</x:v>
      </x:c>
      <x:c r="I64" s="136" t="str">
        <x:v>Stage 2</x:v>
      </x:c>
      <x:c r="J64" s="136" t="str">
        <x:v>Unassigned</x:v>
      </x:c>
      <x:c r="K64" s="136" t="str">
        <x:v>Bike publishing/validation</x:v>
      </x:c>
      <x:c r="L64" s="136" t="str">
        <x:v>Authenticated seller can create a bike listing with all signed-scope fields.</x:v>
      </x:c>
      <x:c r="M64" s="136" t="str">
        <x:v>Happy path; validation; ownership; images; mobile</x:v>
      </x:c>
      <x:c r="N64" s="136" t="str">
        <x:v>Cars, bikes and parts publishing flows are implemented with instant publication, seller limits and synchronized facets.</x:v>
      </x:c>
      <x:c r="O64" s="136" t="str">
        <x:v>Retain in final regression and comprehensive browser QA.</x:v>
      </x:c>
    </x:row>
    <x:row r="65">
      <x:c r="A65" s="135" t="str">
        <x:v>JW-061</x:v>
      </x:c>
      <x:c r="B65" s="135" t="str">
        <x:v>Listing Creation</x:v>
      </x:c>
      <x:c r="C65" s="135" t="str">
        <x:v>Auto-parts listing form</x:v>
      </x:c>
      <x:c r="D65" s="136" t="str">
        <x:v>Title, category, compatibility, condition, price, location, description, photos and seller data</x:v>
      </x:c>
      <x:c r="E65" s="136" t="str">
        <x:v>Signed V1</x:v>
      </x:c>
      <x:c r="F65" s="136" t="str">
        <x:v>Completed</x:v>
      </x:c>
      <x:c r="G65" s="137" t="n">
        <x:v>1</x:v>
      </x:c>
      <x:c r="H65" s="136" t="str">
        <x:v>Critical</x:v>
      </x:c>
      <x:c r="I65" s="136" t="str">
        <x:v>Stage 2</x:v>
      </x:c>
      <x:c r="J65" s="136" t="str">
        <x:v>Unassigned</x:v>
      </x:c>
      <x:c r="K65" s="136" t="str">
        <x:v>Parts publishing/validation</x:v>
      </x:c>
      <x:c r="L65" s="136" t="str">
        <x:v>Authenticated seller can create a parts classified ad without cart/checkout concepts.</x:v>
      </x:c>
      <x:c r="M65" s="136" t="str">
        <x:v>Category/compatibility; validation; images; mobile</x:v>
      </x:c>
      <x:c r="N65" s="136" t="str">
        <x:v>Cars, bikes and parts publishing flows are implemented with instant publication, seller limits and synchronized facets.</x:v>
      </x:c>
      <x:c r="O65" s="136" t="str">
        <x:v>Retain in final regression and comprehensive browser QA.</x:v>
      </x:c>
    </x:row>
    <x:row r="66">
      <x:c r="A66" s="135" t="str">
        <x:v>JW-062</x:v>
      </x:c>
      <x:c r="B66" s="135" t="str">
        <x:v>Listing Creation</x:v>
      </x:c>
      <x:c r="C66" s="135" t="str">
        <x:v>Instant publication after validation</x:v>
      </x:c>
      <x:c r="D66" s="136" t="str">
        <x:v>Ordinary valid listings become Live without routine pre-approval</x:v>
      </x:c>
      <x:c r="E66" s="136" t="str">
        <x:v>Signed V1</x:v>
      </x:c>
      <x:c r="F66" s="136" t="str">
        <x:v>Completed</x:v>
      </x:c>
      <x:c r="G66" s="137" t="n">
        <x:v>1</x:v>
      </x:c>
      <x:c r="H66" s="136" t="str">
        <x:v>Critical</x:v>
      </x:c>
      <x:c r="I66" s="136" t="str">
        <x:v>Stage 1</x:v>
      </x:c>
      <x:c r="J66" s="136" t="str">
        <x:v>Unassigned</x:v>
      </x:c>
      <x:c r="K66" s="136" t="str">
        <x:v>Publishing service</x:v>
      </x:c>
      <x:c r="L66" s="136" t="str">
        <x:v>Valid seller/dealer listing is active immediately; reporting and post-publication moderation remain available.</x:v>
      </x:c>
      <x:c r="M66" s="136" t="str">
        <x:v>Individual; unverified dealer; verified dealer; invalid data</x:v>
      </x:c>
      <x:c r="N66" s="136" t="str">
        <x:v>Cars, bikes and parts publishing flows are implemented with instant publication, seller limits and synchronized facets.</x:v>
      </x:c>
      <x:c r="O66" s="136" t="str">
        <x:v>Retain in final regression and comprehensive browser QA.</x:v>
      </x:c>
    </x:row>
    <x:row r="67">
      <x:c r="A67" s="135" t="str">
        <x:v>JW-063</x:v>
      </x:c>
      <x:c r="B67" s="135" t="str">
        <x:v>Listing Creation</x:v>
      </x:c>
      <x:c r="C67" s="135" t="str">
        <x:v>Dealer linkage</x:v>
      </x:c>
      <x:c r="D67" s="136" t="str">
        <x:v>Associate a dealer user's listing with the dealer profile</x:v>
      </x:c>
      <x:c r="E67" s="136" t="str">
        <x:v>Signed V1</x:v>
      </x:c>
      <x:c r="F67" s="136" t="str">
        <x:v>Completed</x:v>
      </x:c>
      <x:c r="G67" s="137" t="n">
        <x:v>1</x:v>
      </x:c>
      <x:c r="H67" s="136" t="str">
        <x:v>High</x:v>
      </x:c>
      <x:c r="I67" s="136" t="str">
        <x:v>Stage 2</x:v>
      </x:c>
      <x:c r="J67" s="136" t="str">
        <x:v>Unassigned</x:v>
      </x:c>
      <x:c r="K67" s="136" t="str">
        <x:v>Dealer registration</x:v>
      </x:c>
      <x:c r="L67" s="136" t="str">
        <x:v>Dealer-created ads carry the correct dealerId and storefront relation.</x:v>
      </x:c>
      <x:c r="M67" s="136" t="str">
        <x:v>Dealer vs individual creation; spoofed dealer ID</x:v>
      </x:c>
      <x:c r="N67" s="136" t="str">
        <x:v>Server resolves dealer by authenticated user.</x:v>
      </x:c>
      <x:c r="O67" s="136" t="str">
        <x:v>Retest for bike/parts creation.</x:v>
      </x:c>
    </x:row>
    <x:row r="68">
      <x:c r="A68" s="135" t="str">
        <x:v>JW-064</x:v>
      </x:c>
      <x:c r="B68" s="135" t="str">
        <x:v>Listing Creation</x:v>
      </x:c>
      <x:c r="C68" s="135" t="str">
        <x:v>Private seller active-ad limit</x:v>
      </x:c>
      <x:c r="D68" s="136" t="str">
        <x:v>Maximum three active/pending ads for non-dealers</x:v>
      </x:c>
      <x:c r="E68" s="136" t="str">
        <x:v>Signed V1</x:v>
      </x:c>
      <x:c r="F68" s="136" t="str">
        <x:v>Completed</x:v>
      </x:c>
      <x:c r="G68" s="137" t="n">
        <x:v>1</x:v>
      </x:c>
      <x:c r="H68" s="136" t="str">
        <x:v>Medium</x:v>
      </x:c>
      <x:c r="I68" s="136" t="str">
        <x:v>Stage 2</x:v>
      </x:c>
      <x:c r="J68" s="136" t="str">
        <x:v>Unassigned</x:v>
      </x:c>
      <x:c r="K68" s="136" t="str">
        <x:v>Publishing status correction</x:v>
      </x:c>
      <x:c r="L68" s="136" t="str">
        <x:v>Limit counts only applicable live states and cannot be bypassed concurrently.</x:v>
      </x:c>
      <x:c r="M68" s="136" t="str">
        <x:v>Boundary 2/3/4; concurrent submits; sold/expired</x:v>
      </x:c>
      <x:c r="N68" s="136" t="str">
        <x:v>8 Oct review #5: all vertical creation, reactivation and rejected-ad resubmission serialize on the owner row and check 3 live ads in the transaction. Concurrent publication permits only one final slot; real dealer profile exemption tested.</x:v>
      </x:c>
      <x:c r="O68" s="136" t="str">
        <x:v>Retain in final regression and comprehensive browser QA.</x:v>
      </x:c>
    </x:row>
    <x:row r="69">
      <x:c r="A69" s="135" t="str">
        <x:v>JW-065</x:v>
      </x:c>
      <x:c r="B69" s="135" t="str">
        <x:v>Listing Creation</x:v>
      </x:c>
      <x:c r="C69" s="135" t="str">
        <x:v>Description sanitization</x:v>
      </x:c>
      <x:c r="D69" s="136" t="str">
        <x:v>Strip phone numbers, emails and URLs from listing descriptions</x:v>
      </x:c>
      <x:c r="E69" s="136" t="str">
        <x:v>Signed V1</x:v>
      </x:c>
      <x:c r="F69" s="136" t="str">
        <x:v>Completed</x:v>
      </x:c>
      <x:c r="G69" s="137" t="n">
        <x:v>1</x:v>
      </x:c>
      <x:c r="H69" s="136" t="str">
        <x:v>High</x:v>
      </x:c>
      <x:c r="I69" s="136" t="str">
        <x:v>Stage 2</x:v>
      </x:c>
      <x:c r="J69" s="136" t="str">
        <x:v>Unassigned</x:v>
      </x:c>
      <x:c r="K69" s="136" t="str">
        <x:v>Validation</x:v>
      </x:c>
      <x:c r="L69" s="136" t="str">
        <x:v>Common contact patterns are removed without destroying normal text.</x:v>
      </x:c>
      <x:c r="M69" s="136" t="str">
        <x:v>Phone/email/URL variants; false positives; Unicode</x:v>
      </x:c>
      <x:c r="N69" s="136" t="str">
        <x:v>sanitizeDescription is used for cars.</x:v>
      </x:c>
      <x:c r="O69" s="136" t="str">
        <x:v>Apply uniformly to bikes, parts and edits; expand tests.</x:v>
      </x:c>
    </x:row>
    <x:row r="70">
      <x:c r="A70" s="135" t="str">
        <x:v>JW-066</x:v>
      </x:c>
      <x:c r="B70" s="135" t="str">
        <x:v>Listing Creation</x:v>
      </x:c>
      <x:c r="C70" s="135" t="str">
        <x:v>Transactional publishing</x:v>
      </x:c>
      <x:c r="D70" s="136" t="str">
        <x:v>Insert listing, vertical details, images and features atomically</x:v>
      </x:c>
      <x:c r="E70" s="136" t="str">
        <x:v>Signed V1</x:v>
      </x:c>
      <x:c r="F70" s="136" t="str">
        <x:v>Completed</x:v>
      </x:c>
      <x:c r="G70" s="137" t="n">
        <x:v>1</x:v>
      </x:c>
      <x:c r="H70" s="136" t="str">
        <x:v>Critical</x:v>
      </x:c>
      <x:c r="I70" s="136" t="str">
        <x:v>Stage 2</x:v>
      </x:c>
      <x:c r="J70" s="136" t="str">
        <x:v>Unassigned</x:v>
      </x:c>
      <x:c r="K70" s="136" t="str">
        <x:v>Database transactions</x:v>
      </x:c>
      <x:c r="L70" s="136" t="str">
        <x:v>Any failure rolls back the entire listing.</x:v>
      </x:c>
      <x:c r="M70" s="136" t="str">
        <x:v>Injected failure at each insert; rollback verification</x:v>
      </x:c>
      <x:c r="N70" s="136" t="str">
        <x:v>Car publish uses one transaction.</x:v>
      </x:c>
      <x:c r="O70" s="136" t="str">
        <x:v>Reuse for bike and parts publishing.</x:v>
      </x:c>
    </x:row>
    <x:row r="71">
      <x:c r="A71" s="135" t="str">
        <x:v>JW-067</x:v>
      </x:c>
      <x:c r="B71" s="135" t="str">
        <x:v>Listing Creation</x:v>
      </x:c>
      <x:c r="C71" s="135" t="str">
        <x:v>Denormalized facet synchronization</x:v>
      </x:c>
      <x:c r="D71" s="136" t="str">
        <x:v>Keep make/model/variant-derived search columns consistent</x:v>
      </x:c>
      <x:c r="E71" s="136" t="str">
        <x:v>Signed V1</x:v>
      </x:c>
      <x:c r="F71" s="136" t="str">
        <x:v>Completed</x:v>
      </x:c>
      <x:c r="G71" s="137" t="n">
        <x:v>1</x:v>
      </x:c>
      <x:c r="H71" s="136" t="str">
        <x:v>Critical</x:v>
      </x:c>
      <x:c r="I71" s="136" t="str">
        <x:v>Stage 2</x:v>
      </x:c>
      <x:c r="J71" s="136" t="str">
        <x:v>Unassigned</x:v>
      </x:c>
      <x:c r="K71" s="136" t="str">
        <x:v>Edit workflow</x:v>
      </x:c>
      <x:c r="L71" s="136" t="str">
        <x:v>Create and edit paths derive facets only from curated taxonomy and never drift.</x:v>
      </x:c>
      <x:c r="M71" s="136" t="str">
        <x:v>Create; variant edit; invalid taxonomy; resync</x:v>
      </x:c>
      <x:c r="N71" s="136" t="str">
        <x:v>Cars, bikes and parts publishing flows are implemented with instant publication, seller limits and synchronized facets.</x:v>
      </x:c>
      <x:c r="O71" s="136" t="str">
        <x:v>Retain in final regression and comprehensive browser QA.</x:v>
      </x:c>
    </x:row>
    <x:row r="72">
      <x:c r="A72" s="135" t="str">
        <x:v>JW-068</x:v>
      </x:c>
      <x:c r="B72" s="135" t="str">
        <x:v>Listing Management</x:v>
      </x:c>
      <x:c r="C72" s="135" t="str">
        <x:v>Seller dashboard</x:v>
      </x:c>
      <x:c r="D72" s="136" t="str">
        <x:v>List seller ads with status, price, city, views and phone reveals</x:v>
      </x:c>
      <x:c r="E72" s="136" t="str">
        <x:v>Signed V1</x:v>
      </x:c>
      <x:c r="F72" s="136" t="str">
        <x:v>Completed</x:v>
      </x:c>
      <x:c r="G72" s="137" t="n">
        <x:v>1</x:v>
      </x:c>
      <x:c r="H72" s="136" t="str">
        <x:v>High</x:v>
      </x:c>
      <x:c r="I72" s="136" t="str">
        <x:v>Stage 2</x:v>
      </x:c>
      <x:c r="J72" s="136" t="str">
        <x:v>Unassigned</x:v>
      </x:c>
      <x:c r="K72" s="136" t="str">
        <x:v>Authentication and listings</x:v>
      </x:c>
      <x:c r="L72" s="136" t="str">
        <x:v>Only the owner sees their listings and accurate aggregate counts.</x:v>
      </x:c>
      <x:c r="M72" s="136" t="str">
        <x:v>Ownership; empty state; all statuses; pagination volume</x:v>
      </x:c>
      <x:c r="N72" s="136" t="str">
        <x:v>Dashboard is operational.</x:v>
      </x:c>
      <x:c r="O72" s="136" t="str">
        <x:v>Add pagination and automated tests if volume requires.</x:v>
      </x:c>
    </x:row>
    <x:row r="73">
      <x:c r="A73" s="135" t="str">
        <x:v>JW-069</x:v>
      </x:c>
      <x:c r="B73" s="135" t="str">
        <x:v>Listing Management</x:v>
      </x:c>
      <x:c r="C73" s="135" t="str">
        <x:v>Mark as sold</x:v>
      </x:c>
      <x:c r="D73" s="136" t="str">
        <x:v>Owner changes an active listing to sold</x:v>
      </x:c>
      <x:c r="E73" s="136" t="str">
        <x:v>Signed V1</x:v>
      </x:c>
      <x:c r="F73" s="136" t="str">
        <x:v>Completed</x:v>
      </x:c>
      <x:c r="G73" s="137" t="n">
        <x:v>1</x:v>
      </x:c>
      <x:c r="H73" s="136" t="str">
        <x:v>High</x:v>
      </x:c>
      <x:c r="I73" s="136" t="str">
        <x:v>Stage 2</x:v>
      </x:c>
      <x:c r="J73" s="136" t="str">
        <x:v>Unassigned</x:v>
      </x:c>
      <x:c r="K73" s="136" t="str">
        <x:v>Seller dashboard</x:v>
      </x:c>
      <x:c r="L73" s="136" t="str">
        <x:v>Only owner can mark sold and listing disappears from active search/contact.</x:v>
      </x:c>
      <x:c r="M73" s="136" t="str">
        <x:v>Owner/non-owner; repeated action; search exclusion</x:v>
      </x:c>
      <x:c r="N73" s="136" t="str">
        <x:v>markSoldAction checks ownership.</x:v>
      </x:c>
      <x:c r="O73" s="136" t="str">
        <x:v>Add confirmation/E2E and audit timestamps.</x:v>
      </x:c>
    </x:row>
    <x:row r="74">
      <x:c r="A74" s="135" t="str">
        <x:v>JW-070</x:v>
      </x:c>
      <x:c r="B74" s="135" t="str">
        <x:v>Listing Management</x:v>
      </x:c>
      <x:c r="C74" s="135" t="str">
        <x:v>Create draft</x:v>
      </x:c>
      <x:c r="D74" s="136" t="str">
        <x:v>Save incomplete listing privately and continue later</x:v>
      </x:c>
      <x:c r="E74" s="136" t="str">
        <x:v>Signed V1</x:v>
      </x:c>
      <x:c r="F74" s="136" t="str">
        <x:v>Completed</x:v>
      </x:c>
      <x:c r="G74" s="137" t="n">
        <x:v>1</x:v>
      </x:c>
      <x:c r="H74" s="136" t="str">
        <x:v>Low</x:v>
      </x:c>
      <x:c r="I74" s="136" t="str">
        <x:v>Stage 2</x:v>
      </x:c>
      <x:c r="J74" s="136" t="str">
        <x:v>Unassigned</x:v>
      </x:c>
      <x:c r="K74" s="136" t="str">
        <x:v>Draft product decision</x:v>
      </x:c>
      <x:c r="L74" s="136" t="str">
        <x:v>Draft is private, editable and never indexed/contactable.</x:v>
      </x:c>
      <x:c r="M74" s="136" t="str">
        <x:v>Create/resume/delete draft; authorization</x:v>
      </x:c>
      <x:c r="N74" s="136" t="str">
        <x:v>Owner listing CRUD, image management, lifecycle controls and inactive-listing privacy are implemented.</x:v>
      </x:c>
      <x:c r="O74" s="136" t="str">
        <x:v>Retain in final regression and comprehensive browser QA.</x:v>
      </x:c>
    </x:row>
    <x:row r="75">
      <x:c r="A75" s="135" t="str">
        <x:v>JW-071</x:v>
      </x:c>
      <x:c r="B75" s="135" t="str">
        <x:v>Listing Management</x:v>
      </x:c>
      <x:c r="C75" s="135" t="str">
        <x:v>Edit listing</x:v>
      </x:c>
      <x:c r="D75" s="136" t="str">
        <x:v>Owner edits all applicable listing fields</x:v>
      </x:c>
      <x:c r="E75" s="136" t="str">
        <x:v>Signed V1</x:v>
      </x:c>
      <x:c r="F75" s="136" t="str">
        <x:v>Completed</x:v>
      </x:c>
      <x:c r="G75" s="137" t="n">
        <x:v>1</x:v>
      </x:c>
      <x:c r="H75" s="136" t="str">
        <x:v>Critical</x:v>
      </x:c>
      <x:c r="I75" s="136" t="str">
        <x:v>Stage 2</x:v>
      </x:c>
      <x:c r="J75" s="136" t="str">
        <x:v>Unassigned</x:v>
      </x:c>
      <x:c r="K75" s="136" t="str">
        <x:v>Create forms and ownership checks</x:v>
      </x:c>
      <x:c r="L75" s="136" t="str">
        <x:v>Only owner/admin can edit; validation and facets remain correct; changes update timestamp/slug safely.</x:v>
      </x:c>
      <x:c r="M75" s="136" t="str">
        <x:v>Owner/non-owner/admin; each vertical; validation; SEO redirect</x:v>
      </x:c>
      <x:c r="N75" s="136" t="str">
        <x:v>Fourth review: reciprocal admin-owned approve/reinstate no longer deadlock through moderator FK. Forced listing barrier verifies both decisions, two active ads and exactly one audit per ad (4/4 desktop/mobile). Reciprocal reports 4/4; admin/report/edit closure and account lifecycle 16/16. Previous reciprocal-report P2 independently resolved.</x:v>
      </x:c>
      <x:c r="O75" s="136" t="str">
        <x:v>Replacement-head CI and independent re-review pending; local WebKit, live providers, real devices and production acceptance remain open.</x:v>
      </x:c>
    </x:row>
    <x:row r="76">
      <x:c r="A76" s="135" t="str">
        <x:v>JW-072</x:v>
      </x:c>
      <x:c r="B76" s="135" t="str">
        <x:v>Listing Management</x:v>
      </x:c>
      <x:c r="C76" s="135" t="str">
        <x:v>Delete listing</x:v>
      </x:c>
      <x:c r="D76" s="136" t="str">
        <x:v>Owner removes their listing with clear recovery/policy behavior</x:v>
      </x:c>
      <x:c r="E76" s="136" t="str">
        <x:v>Signed V1</x:v>
      </x:c>
      <x:c r="F76" s="136" t="str">
        <x:v>Completed</x:v>
      </x:c>
      <x:c r="G76" s="137" t="n">
        <x:v>1</x:v>
      </x:c>
      <x:c r="H76" s="136" t="str">
        <x:v>Critical</x:v>
      </x:c>
      <x:c r="I76" s="136" t="str">
        <x:v>Stage 2</x:v>
      </x:c>
      <x:c r="J76" s="136" t="str">
        <x:v>Unassigned</x:v>
      </x:c>
      <x:c r="K76" s="136" t="str">
        <x:v>Ownership and media cleanup</x:v>
      </x:c>
      <x:c r="L76" s="136" t="str">
        <x:v>Only owner/admin can delete; search/detail exposure and related records follow approved soft/hard-delete policy.</x:v>
      </x:c>
      <x:c r="M76" s="136" t="str">
        <x:v>Owner/non-owner; related images/reports; repeat delete</x:v>
      </x:c>
      <x:c r="N76" s="136" t="str">
        <x:v>8 Oct review #1: seller deletion writes a seller-delete ledger receipt atomically. Backup replay hides the ad idempotently; retained photos stay private with admin evidence access. Retention expiry/holds remain authoritative.</x:v>
      </x:c>
      <x:c r="O76" s="136" t="str">
        <x:v>Retain in final regression and comprehensive browser QA.</x:v>
      </x:c>
    </x:row>
    <x:row r="77">
      <x:c r="A77" s="135" t="str">
        <x:v>JW-073</x:v>
      </x:c>
      <x:c r="B77" s="135" t="str">
        <x:v>Listing Management</x:v>
      </x:c>
      <x:c r="C77" s="135" t="str">
        <x:v>Image management after posting</x:v>
      </x:c>
      <x:c r="D77" s="136" t="str">
        <x:v>Add, remove, reorder and choose primary image</x:v>
      </x:c>
      <x:c r="E77" s="136" t="str">
        <x:v>Signed V1</x:v>
      </x:c>
      <x:c r="F77" s="136" t="str">
        <x:v>Completed</x:v>
      </x:c>
      <x:c r="G77" s="137" t="n">
        <x:v>1</x:v>
      </x:c>
      <x:c r="H77" s="136" t="str">
        <x:v>High</x:v>
      </x:c>
      <x:c r="I77" s="136" t="str">
        <x:v>Stage 2</x:v>
      </x:c>
      <x:c r="J77" s="136" t="str">
        <x:v>Unassigned</x:v>
      </x:c>
      <x:c r="K77" s="136" t="str">
        <x:v>Edit listing and media ownership</x:v>
      </x:c>
      <x:c r="L77" s="136" t="str">
        <x:v>Only owner can mutate media and photoCount/order stay consistent.</x:v>
      </x:c>
      <x:c r="M77" s="136" t="str">
        <x:v>Authorization; max count; reorder; failed deletion</x:v>
      </x:c>
      <x:c r="N77" s="136" t="str">
        <x:v>Owner listing CRUD, image management, lifecycle controls and inactive-listing privacy are implemented.</x:v>
      </x:c>
      <x:c r="O77" s="136" t="str">
        <x:v>Retain in final regression and comprehensive browser QA.</x:v>
      </x:c>
    </x:row>
    <x:row r="78">
      <x:c r="A78" s="135" t="str">
        <x:v>JW-074</x:v>
      </x:c>
      <x:c r="B78" s="135" t="str">
        <x:v>Listing Management</x:v>
      </x:c>
      <x:c r="C78" s="135" t="str">
        <x:v>Listing status lifecycle</x:v>
      </x:c>
      <x:c r="D78" s="136" t="str">
        <x:v>Draft, Live, Flagged, Sold and Removed behavior</x:v>
      </x:c>
      <x:c r="E78" s="136" t="str">
        <x:v>Signed V1</x:v>
      </x:c>
      <x:c r="F78" s="136" t="str">
        <x:v>Completed</x:v>
      </x:c>
      <x:c r="G78" s="137" t="n">
        <x:v>1</x:v>
      </x:c>
      <x:c r="H78" s="136" t="str">
        <x:v>Critical</x:v>
      </x:c>
      <x:c r="I78" s="136" t="str">
        <x:v>Stage 2</x:v>
      </x:c>
      <x:c r="J78" s="136" t="str">
        <x:v>Unassigned</x:v>
      </x:c>
      <x:c r="K78" s="136" t="str">
        <x:v>Publishing and moderation</x:v>
      </x:c>
      <x:c r="L78" s="136" t="str">
        <x:v>Every agreed status has defined transitions, visibility, contactability and audit rules.</x:v>
      </x:c>
      <x:c r="M78" s="136" t="str">
        <x:v>State-transition matrix; illegal transitions; SEO</x:v>
      </x:c>
      <x:c r="N78" s="136" t="str">
        <x:v>Owner listing CRUD, image management, lifecycle controls and inactive-listing privacy are implemented.</x:v>
      </x:c>
      <x:c r="O78" s="136" t="str">
        <x:v>Retain in final regression and comprehensive browser QA.</x:v>
      </x:c>
    </x:row>
    <x:row r="79">
      <x:c r="A79" s="135" t="str">
        <x:v>JW-075</x:v>
      </x:c>
      <x:c r="B79" s="135" t="str">
        <x:v>Listing Management</x:v>
      </x:c>
      <x:c r="C79" s="135" t="str">
        <x:v>Listing expiry</x:v>
      </x:c>
      <x:c r="D79" s="136" t="str">
        <x:v>Automatically expire stale active listings</x:v>
      </x:c>
      <x:c r="E79" s="136" t="str">
        <x:v>Signed V1</x:v>
      </x:c>
      <x:c r="F79" s="136" t="str">
        <x:v>Partially Implemented</x:v>
      </x:c>
      <x:c r="G79" s="137" t="n">
        <x:v>0.95</x:v>
      </x:c>
      <x:c r="H79" s="136" t="str">
        <x:v>High</x:v>
      </x:c>
      <x:c r="I79" s="136" t="str">
        <x:v>Stage 6</x:v>
      </x:c>
      <x:c r="J79" s="136" t="str">
        <x:v>Backend</x:v>
      </x:c>
      <x:c r="K79" s="136" t="str">
        <x:v>External cron scheduler</x:v>
      </x:c>
      <x:c r="L79" s="136" t="str">
        <x:v>Expired listings stop appearing as active and seller can understand/reactivate per policy.</x:v>
      </x:c>
      <x:c r="M79" s="136" t="str">
        <x:v>TTL boundary; cron auth; search/detail behavior</x:v>
      </x:c>
      <x:c r="N79" s="136" t="str">
        <x:v>Expiry/reactivation local acceptance passes in desktop/mobile: unauthenticated cron denied, due active fixture expires, future fixture remains active, foreign/anonymous reactivation denied, owner receives a fresh 30-day window, and active/rejected/removed requests do not extend it.</x:v>
      </x:c>
      <x:c r="O79" s="136" t="str">
        <x:v>Configure and monitor production expiry scheduling; run full live search/contact/SEO lifecycle acceptance.</x:v>
      </x:c>
    </x:row>
    <x:row r="80">
      <x:c r="A80" s="135" t="str">
        <x:v>JW-076</x:v>
      </x:c>
      <x:c r="B80" s="135" t="str">
        <x:v>Listing Management</x:v>
      </x:c>
      <x:c r="C80" s="135" t="str">
        <x:v>Inactive listing privacy</x:v>
      </x:c>
      <x:c r="D80" s="136" t="str">
        <x:v>Prevent public access to drafts, pending, rejected and removed listings</x:v>
      </x:c>
      <x:c r="E80" s="136" t="str">
        <x:v>Signed V1</x:v>
      </x:c>
      <x:c r="F80" s="136" t="str">
        <x:v>Completed</x:v>
      </x:c>
      <x:c r="G80" s="137" t="n">
        <x:v>1</x:v>
      </x:c>
      <x:c r="H80" s="136" t="str">
        <x:v>Critical</x:v>
      </x:c>
      <x:c r="I80" s="136" t="str">
        <x:v>Stage 1</x:v>
      </x:c>
      <x:c r="J80" s="136" t="str">
        <x:v>Unassigned</x:v>
      </x:c>
      <x:c r="K80" s="136" t="str">
        <x:v>Detail-route authorization</x:v>
      </x:c>
      <x:c r="L80" s="136" t="str">
        <x:v>Only active/sold listings allowed by policy are public; private states are accessible only to owner/admin.</x:v>
      </x:c>
      <x:c r="M80" s="136" t="str">
        <x:v>Anonymous direct URL for every status; owner/admin views</x:v>
      </x:c>
      <x:c r="N80" s="136" t="str">
        <x:v>Owner listing CRUD, image management, lifecycle controls and inactive-listing privacy are implemented.</x:v>
      </x:c>
      <x:c r="O80" s="136" t="str">
        <x:v>Retain in final regression and comprehensive browser QA.</x:v>
      </x:c>
    </x:row>
    <x:row r="81">
      <x:c r="A81" s="135" t="str">
        <x:v>JW-077</x:v>
      </x:c>
      <x:c r="B81" s="135" t="str">
        <x:v>Media &amp; Images</x:v>
      </x:c>
      <x:c r="C81" s="135" t="str">
        <x:v>Authenticated upload endpoint</x:v>
      </x:c>
      <x:c r="D81" s="136" t="str">
        <x:v>Only signed-in users may upload images</x:v>
      </x:c>
      <x:c r="E81" s="136" t="str">
        <x:v>Signed V1</x:v>
      </x:c>
      <x:c r="F81" s="136" t="str">
        <x:v>Completed</x:v>
      </x:c>
      <x:c r="G81" s="137" t="n">
        <x:v>1</x:v>
      </x:c>
      <x:c r="H81" s="136" t="str">
        <x:v>Critical</x:v>
      </x:c>
      <x:c r="I81" s="136" t="str">
        <x:v>Stage 1</x:v>
      </x:c>
      <x:c r="J81" s="136" t="str">
        <x:v>Unassigned</x:v>
      </x:c>
      <x:c r="K81" s="136" t="str">
        <x:v>Authentication</x:v>
      </x:c>
      <x:c r="L81" s="136" t="str">
        <x:v>Anonymous uploads receive 401 and authenticated valid uploads succeed.</x:v>
      </x:c>
      <x:c r="M81" s="136" t="str">
        <x:v>Anonymous/auth; large batch; malformed form</x:v>
      </x:c>
      <x:c r="N81" s="136" t="str">
        <x:v>Upload route checks current user.</x:v>
      </x:c>
      <x:c r="O81" s="136" t="str">
        <x:v>Add rate limiting and ownership token binding.</x:v>
      </x:c>
    </x:row>
    <x:row r="82">
      <x:c r="A82" s="135" t="str">
        <x:v>JW-078</x:v>
      </x:c>
      <x:c r="B82" s="135" t="str">
        <x:v>Media &amp; Images</x:v>
      </x:c>
      <x:c r="C82" s="135" t="str">
        <x:v>File type validation</x:v>
      </x:c>
      <x:c r="D82" s="136" t="str">
        <x:v>MIME allowlist and magic-byte sniffing</x:v>
      </x:c>
      <x:c r="E82" s="136" t="str">
        <x:v>Signed V1</x:v>
      </x:c>
      <x:c r="F82" s="136" t="str">
        <x:v>Completed</x:v>
      </x:c>
      <x:c r="G82" s="137" t="n">
        <x:v>1</x:v>
      </x:c>
      <x:c r="H82" s="136" t="str">
        <x:v>Critical</x:v>
      </x:c>
      <x:c r="I82" s="136" t="str">
        <x:v>Stage 1</x:v>
      </x:c>
      <x:c r="J82" s="136" t="str">
        <x:v>Unassigned</x:v>
      </x:c>
      <x:c r="K82" s="136" t="str">
        <x:v>Upload endpoint</x:v>
      </x:c>
      <x:c r="L82" s="136" t="str">
        <x:v>Executable/SVG/polyglot payloads cannot be stored as images.</x:v>
      </x:c>
      <x:c r="M82" s="136" t="str">
        <x:v>Spoofed MIME; SVG; truncated files; valid formats</x:v>
      </x:c>
      <x:c r="N82" s="136" t="str">
        <x:v>JPEG, PNG, WebP, AVIF and HEIC signatures are checked.</x:v>
      </x:c>
      <x:c r="O82" s="136" t="str">
        <x:v>Security-test representative malicious files.</x:v>
      </x:c>
    </x:row>
    <x:row r="83">
      <x:c r="A83" s="135" t="str">
        <x:v>JW-079</x:v>
      </x:c>
      <x:c r="B83" s="135" t="str">
        <x:v>Media &amp; Images</x:v>
      </x:c>
      <x:c r="C83" s="135" t="str">
        <x:v>Upload size/count limits</x:v>
      </x:c>
      <x:c r="D83" s="136" t="str">
        <x:v>10 MB per file and maximum 30 files per request/listing</x:v>
      </x:c>
      <x:c r="E83" s="136" t="str">
        <x:v>Signed V1</x:v>
      </x:c>
      <x:c r="F83" s="136" t="str">
        <x:v>Completed</x:v>
      </x:c>
      <x:c r="G83" s="137" t="n">
        <x:v>1</x:v>
      </x:c>
      <x:c r="H83" s="136" t="str">
        <x:v>High</x:v>
      </x:c>
      <x:c r="I83" s="136" t="str">
        <x:v>Stage 1</x:v>
      </x:c>
      <x:c r="J83" s="136" t="str">
        <x:v>Unassigned</x:v>
      </x:c>
      <x:c r="K83" s="136" t="str">
        <x:v>Upload endpoint</x:v>
      </x:c>
      <x:c r="L83" s="136" t="str">
        <x:v>Limits are enforced server-side and errors are understandable.</x:v>
      </x:c>
      <x:c r="M83" s="136" t="str">
        <x:v>9.9/10/10.1 MB; 29/30/31 files</x:v>
      </x:c>
      <x:c r="N83" s="136" t="str">
        <x:v>API enforces per-file/count/content-length bounds and hourly user file/byte quotas; listing schema rejects excessive/duplicate keys. Browser request-bucket denial passes.</x:v>
      </x:c>
      <x:c r="O83" s="136" t="str">
        <x:v>Complete exact size/count and aggregate byte boundary tests in T-016; retain the implemented aggregate protection.</x:v>
      </x:c>
    </x:row>
    <x:row r="84">
      <x:c r="A84" s="135" t="str">
        <x:v>JW-080</x:v>
      </x:c>
      <x:c r="B84" s="135" t="str">
        <x:v>Media &amp; Images</x:v>
      </x:c>
      <x:c r="C84" s="135" t="str">
        <x:v>Upload ownership binding</x:v>
      </x:c>
      <x:c r="D84" s="136" t="str">
        <x:v>Ensure uploaded keys can only be attached by the uploader</x:v>
      </x:c>
      <x:c r="E84" s="136" t="str">
        <x:v>Signed V1</x:v>
      </x:c>
      <x:c r="F84" s="136" t="str">
        <x:v>Completed</x:v>
      </x:c>
      <x:c r="G84" s="137" t="n">
        <x:v>1</x:v>
      </x:c>
      <x:c r="H84" s="136" t="str">
        <x:v>Critical</x:v>
      </x:c>
      <x:c r="I84" s="136" t="str">
        <x:v>Stage 1</x:v>
      </x:c>
      <x:c r="J84" s="136" t="str">
        <x:v>Unassigned</x:v>
      </x:c>
      <x:c r="K84" s="136" t="str">
        <x:v>Temporary upload record or signed key</x:v>
      </x:c>
      <x:c r="L84" s="136" t="str">
        <x:v>A user cannot attach another user's uploaded image key to their listing.</x:v>
      </x:c>
      <x:c r="M84" s="136" t="str">
        <x:v>Key theft; cross-user attach; expired temp upload</x:v>
      </x:c>
      <x:c r="N84" s="136" t="str">
        <x:v>Real DB transaction tests reject foreign, duplicate and reused keys. Desktop/mobile publish/edit HTTP replay with foreign photo keys is denied without listing/photo changes; valid owner controls succeed on a96704b.</x:v>
      </x:c>
      <x:c r="O84" s="136" t="str">
        <x:v>Retain passing ownership regressions; finish provider-specific private delivery under JW-083.</x:v>
      </x:c>
    </x:row>
    <x:row r="85">
      <x:c r="A85" s="135" t="str">
        <x:v>JW-081</x:v>
      </x:c>
      <x:c r="B85" s="135" t="str">
        <x:v>Media &amp; Images</x:v>
      </x:c>
      <x:c r="C85" s="135" t="str">
        <x:v>Orphan cleanup</x:v>
      </x:c>
      <x:c r="D85" s="136" t="str">
        <x:v>Delete uploads never attached to a listing</x:v>
      </x:c>
      <x:c r="E85" s="136" t="str">
        <x:v>Signed V1</x:v>
      </x:c>
      <x:c r="F85" s="136" t="str">
        <x:v>Partially Implemented</x:v>
      </x:c>
      <x:c r="G85" s="137" t="n">
        <x:v>0.9</x:v>
      </x:c>
      <x:c r="H85" s="136" t="str">
        <x:v>Medium</x:v>
      </x:c>
      <x:c r="I85" s="136" t="str">
        <x:v>Stage 6</x:v>
      </x:c>
      <x:c r="J85" s="136" t="str">
        <x:v>Unassigned</x:v>
      </x:c>
      <x:c r="K85" s="136" t="str">
        <x:v>Upload ownership metadata and cron</x:v>
      </x:c>
      <x:c r="L85" s="136" t="str">
        <x:v>Stale unattached files are purged without deleting active listing media.</x:v>
      </x:c>
      <x:c r="M85" s="136" t="str">
        <x:v>Age boundary; attached/unattached; failed delete</x:v>
      </x:c>
      <x:c r="N85" s="136" t="str">
        <x:v>Protected 24-hour orphan purge now locks unclaimed upload rows, deletes each stored object before its database row, retries failed storage deletions, and preserves claimed listing media. Desktop/mobile Chromium and isolated PostgreSQL acceptance pass.</x:v>
      </x:c>
      <x:c r="O85" s="136" t="str">
        <x:v>Configure and monitor the production cron schedule under JW-197; verify live storage-provider cleanup in staging.</x:v>
      </x:c>
    </x:row>
    <x:row r="86">
      <x:c r="A86" s="135" t="str">
        <x:v>JW-082</x:v>
      </x:c>
      <x:c r="B86" s="135" t="str">
        <x:v>Media &amp; Images</x:v>
      </x:c>
      <x:c r="C86" s="135" t="str">
        <x:v>Local development storage</x:v>
      </x:c>
      <x:c r="D86" s="136" t="str">
        <x:v>Write files under configurable absolute upload directory</x:v>
      </x:c>
      <x:c r="E86" s="136" t="str">
        <x:v>Signed V1</x:v>
      </x:c>
      <x:c r="F86" s="136" t="str">
        <x:v>Completed</x:v>
      </x:c>
      <x:c r="G86" s="137" t="n">
        <x:v>1</x:v>
      </x:c>
      <x:c r="H86" s="136" t="str">
        <x:v>Medium</x:v>
      </x:c>
      <x:c r="I86" s="136" t="str">
        <x:v>Stage 0</x:v>
      </x:c>
      <x:c r="J86" s="136" t="str">
        <x:v>Unassigned</x:v>
      </x:c>
      <x:c r="K86" s="136" t="str">
        <x:v>UPLOAD_DIR</x:v>
      </x:c>
      <x:c r="L86" s="136" t="str">
        <x:v>Uploads remain available when server starts from another working directory.</x:v>
      </x:c>
      <x:c r="M86" s="136" t="str">
        <x:v>Absolute/relative path; restart; broken image sweep</x:v>
      </x:c>
      <x:c r="N86" s="136" t="str">
        <x:v>a96704b stores local media in absolute private .uploads; public/ storage is rejected. Existing development files were moved, legacy JPEG fixture decoding preserved, and local GET/HEAD ownership/status checks pass on desktop/mobile. No-store direct previews bypass the optimizer.</x:v>
      </x:c>
      <x:c r="O86" s="136" t="str">
        <x:v>Keep local provider development-only; follow migration guidance in docs/QUALITY.md.</x:v>
      </x:c>
    </x:row>
    <x:row r="87">
      <x:c r="A87" s="135" t="str">
        <x:v>JW-083</x:v>
      </x:c>
      <x:c r="B87" s="135" t="str">
        <x:v>Media &amp; Images</x:v>
      </x:c>
      <x:c r="C87" s="135" t="str">
        <x:v>Cloudflare Images provider</x:v>
      </x:c>
      <x:c r="D87" s="136" t="str">
        <x:v>Production upload and delivery integration</x:v>
      </x:c>
      <x:c r="E87" s="136" t="str">
        <x:v>Signed V1</x:v>
      </x:c>
      <x:c r="F87" s="136" t="str">
        <x:v>Launch Configuration Pending</x:v>
      </x:c>
      <x:c r="G87" s="137" t="n">
        <x:v>0.9</x:v>
      </x:c>
      <x:c r="H87" s="136" t="str">
        <x:v>Critical</x:v>
      </x:c>
      <x:c r="I87" s="136" t="str">
        <x:v>Stage 6</x:v>
      </x:c>
      <x:c r="J87" s="136" t="str">
        <x:v>Backend</x:v>
      </x:c>
      <x:c r="K87" s="136" t="str">
        <x:v>Cloudflare credentials and delivery hash</x:v>
      </x:c>
      <x:c r="L87" s="136" t="str">
        <x:v>Upload, transformations and display work in staging and production with consistent variables.</x:v>
      </x:c>
      <x:c r="M87" s="136" t="str">
        <x:v>Upload/display/delete; credential failure; variants</x:v>
      </x:c>
      <x:c r="N87" s="136" t="str">
        <x:v>Private Cloudflare UUID uploads, response privacy verification, server-only 60-second signing and authorized no-store proxy delivery implemented. Mock provider covers upload/signing/read/delete/configuration and upstream failure. Local shared visibility browser cases pass. docs/PRIVATE_MEDIA.md records old custom-ID migration and variant restrictions. Cloudflare credentials are absent locally.</x:v>
      </x:c>
      <x:c r="O87" s="136" t="str">
        <x:v>Provide/configure Cloudflare account, token, signing key, hash and private variant; migrate any old public custom IDs and run live upload/read/delete/access acceptance.</x:v>
      </x:c>
    </x:row>
    <x:row r="88">
      <x:c r="A88" s="135" t="str">
        <x:v>JW-084</x:v>
      </x:c>
      <x:c r="B88" s="135" t="str">
        <x:v>Media &amp; Images</x:v>
      </x:c>
      <x:c r="C88" s="135" t="str">
        <x:v>S3-compatible provider</x:v>
      </x:c>
      <x:c r="D88" s="136" t="str">
        <x:v>R2/S3 storage option advertised in environment documentation</x:v>
      </x:c>
      <x:c r="E88" s="136" t="str">
        <x:v>Excluded / Change Request</x:v>
      </x:c>
      <x:c r="F88" s="136" t="str">
        <x:v>Out of Scope / Removed</x:v>
      </x:c>
      <x:c r="G88" s="137" t="n">
        <x:v>0</x:v>
      </x:c>
      <x:c r="H88" s="136" t="str">
        <x:v>High</x:v>
      </x:c>
      <x:c r="I88" s="136" t="str">
        <x:v>Stage 6</x:v>
      </x:c>
      <x:c r="J88" s="136" t="str">
        <x:v>Unassigned</x:v>
      </x:c>
      <x:c r="K88" s="136" t="str">
        <x:v>Production storage choice</x:v>
      </x:c>
      <x:c r="L88" s="136" t="str">
        <x:v>Either provider is implemented end to end or unused variables/documentation are removed.</x:v>
      </x:c>
      <x:c r="M88" s="136" t="str">
        <x:v>Upload/display/delete; URL generation</x:v>
      </x:c>
      <x:c r="N88" s="136" t="str">
        <x:v>S3/R2 option was removed from the environment template and unsupported providers fail explicitly. This excluded alternative contributes neither numerator nor denominator to overall completion.</x:v>
      </x:c>
      <x:c r="O88" s="136" t="str">
        <x:v>No V1 S3 implementation. Cloudflare provider work remains in JW-083.</x:v>
      </x:c>
    </x:row>
    <x:row r="89">
      <x:c r="A89" s="135" t="str">
        <x:v>JW-085</x:v>
      </x:c>
      <x:c r="B89" s="135" t="str">
        <x:v>Media &amp; Images</x:v>
      </x:c>
      <x:c r="C89" s="135" t="str">
        <x:v>Image optimization</x:v>
      </x:c>
      <x:c r="D89" s="136" t="str">
        <x:v>Responsive delivery in listing cards and detail gallery</x:v>
      </x:c>
      <x:c r="E89" s="136" t="str">
        <x:v>Signed V1</x:v>
      </x:c>
      <x:c r="F89" s="136" t="str">
        <x:v>Partially Implemented</x:v>
      </x:c>
      <x:c r="G89" s="137" t="n">
        <x:v>0.8</x:v>
      </x:c>
      <x:c r="H89" s="136" t="str">
        <x:v>High</x:v>
      </x:c>
      <x:c r="I89" s="136" t="str">
        <x:v>Stage 6</x:v>
      </x:c>
      <x:c r="J89" s="136" t="str">
        <x:v>QA</x:v>
      </x:c>
      <x:c r="K89" s="136" t="str">
        <x:v>Production image provider</x:v>
      </x:c>
      <x:c r="L89" s="136" t="str">
        <x:v>Correct variants load with modern formats, dimensions and acceptable visual quality.</x:v>
      </x:c>
      <x:c r="M89" s="136" t="str">
        <x:v>LCP; mobile bandwidth; broken URLs; alt text</x:v>
      </x:c>
      <x:c r="N89" s="136" t="str">
        <x:v>Both providers deliver bounded WebP through the authorization endpoint; static assets retain Next optimization. Public provider/optimizer bypasses are removed. Cloudflare private variant and application bandwidth/processing need live measurement; no production media-performance claim.</x:v>
      </x:c>
      <x:c r="O89" s="136" t="str">
        <x:v>Measure real image dimensions, transfer size, LCP and proxy capacity on HTTPS staging; configure bounded private variants.</x:v>
      </x:c>
    </x:row>
    <x:row r="90">
      <x:c r="A90" s="135" t="str">
        <x:v>JW-086</x:v>
      </x:c>
      <x:c r="B90" s="135" t="str">
        <x:v>Search &amp; Browse</x:v>
      </x:c>
      <x:c r="C90" s="135" t="str">
        <x:v>Vertical browse routes</x:v>
      </x:c>
      <x:c r="D90" s="136" t="str">
        <x:v>Separate browse and detail handling for cars, bikes and parts</x:v>
      </x:c>
      <x:c r="E90" s="136" t="str">
        <x:v>Signed V1</x:v>
      </x:c>
      <x:c r="F90" s="136" t="str">
        <x:v>Completed</x:v>
      </x:c>
      <x:c r="G90" s="137" t="n">
        <x:v>1</x:v>
      </x:c>
      <x:c r="H90" s="136" t="str">
        <x:v>Critical</x:v>
      </x:c>
      <x:c r="I90" s="136" t="str">
        <x:v>Stage 3</x:v>
      </x:c>
      <x:c r="J90" s="136" t="str">
        <x:v>Unassigned</x:v>
      </x:c>
      <x:c r="K90" s="136" t="str">
        <x:v>Shared vertical router</x:v>
      </x:c>
      <x:c r="L90" s="136" t="str">
        <x:v>All three roots load and unknown segments return 404.</x:v>
      </x:c>
      <x:c r="M90" s="136" t="str">
        <x:v>Root routes; unknown segments; ambiguous numeric slugs</x:v>
      </x:c>
      <x:c r="N90" s="136" t="str">
        <x:v>Shared VerticalPage implementation exists.</x:v>
      </x:c>
      <x:c r="O90" s="136" t="str">
        <x:v>Keep route sweep coverage.</x:v>
      </x:c>
    </x:row>
    <x:row r="91">
      <x:c r="A91" s="135" t="str">
        <x:v>JW-087</x:v>
      </x:c>
      <x:c r="B91" s="135" t="str">
        <x:v>Search &amp; Browse</x:v>
      </x:c>
      <x:c r="C91" s="135" t="str">
        <x:v>Active-listing visibility</x:v>
      </x:c>
      <x:c r="D91" s="136" t="str">
        <x:v>Search returns only active listings</x:v>
      </x:c>
      <x:c r="E91" s="136" t="str">
        <x:v>Signed V1</x:v>
      </x:c>
      <x:c r="F91" s="136" t="str">
        <x:v>Completed</x:v>
      </x:c>
      <x:c r="G91" s="137" t="n">
        <x:v>1</x:v>
      </x:c>
      <x:c r="H91" s="136" t="str">
        <x:v>Critical</x:v>
      </x:c>
      <x:c r="I91" s="136" t="str">
        <x:v>Stage 3</x:v>
      </x:c>
      <x:c r="J91" s="136" t="str">
        <x:v>Unassigned</x:v>
      </x:c>
      <x:c r="K91" s="136" t="str">
        <x:v>Listing status</x:v>
      </x:c>
      <x:c r="L91" s="136" t="str">
        <x:v>No non-active listing appears in results or homepage latest inventory.</x:v>
      </x:c>
      <x:c r="M91" s="136" t="str">
        <x:v>Each status; verticals; dealer storefront</x:v>
      </x:c>
      <x:c r="N91" s="136" t="str">
        <x:v>Search where clause requires active.</x:v>
      </x:c>
      <x:c r="O91" s="136" t="str">
        <x:v>Automate regression tests.</x:v>
      </x:c>
    </x:row>
    <x:row r="92">
      <x:c r="A92" s="135" t="str">
        <x:v>JW-088</x:v>
      </x:c>
      <x:c r="B92" s="135" t="str">
        <x:v>Search &amp; Browse</x:v>
      </x:c>
      <x:c r="C92" s="135" t="str">
        <x:v>Make filter</x:v>
      </x:c>
      <x:c r="D92" s="136" t="str">
        <x:v>Filter cars/bikes by curated make</x:v>
      </x:c>
      <x:c r="E92" s="136" t="str">
        <x:v>Signed V1</x:v>
      </x:c>
      <x:c r="F92" s="136" t="str">
        <x:v>Completed</x:v>
      </x:c>
      <x:c r="G92" s="137" t="n">
        <x:v>1</x:v>
      </x:c>
      <x:c r="H92" s="136" t="str">
        <x:v>High</x:v>
      </x:c>
      <x:c r="I92" s="136" t="str">
        <x:v>Stage 3</x:v>
      </x:c>
      <x:c r="J92" s="136" t="str">
        <x:v>Unassigned</x:v>
      </x:c>
      <x:c r="K92" s="136" t="str">
        <x:v>Taxonomy</x:v>
      </x:c>
      <x:c r="L92" s="136" t="str">
        <x:v>Results contain only selected make and canonical URL resolves.</x:v>
      </x:c>
      <x:c r="M92" s="136" t="str">
        <x:v>Each vertical; no results; invalid slug</x:v>
      </x:c>
      <x:c r="N92" s="136" t="str">
        <x:v>Implemented in facet parsing/search.</x:v>
      </x:c>
      <x:c r="O92" s="136" t="str">
        <x:v>Add UI on browse page.</x:v>
      </x:c>
    </x:row>
    <x:row r="93">
      <x:c r="A93" s="135" t="str">
        <x:v>JW-089</x:v>
      </x:c>
      <x:c r="B93" s="135" t="str">
        <x:v>Search &amp; Browse</x:v>
      </x:c>
      <x:c r="C93" s="135" t="str">
        <x:v>Model filter</x:v>
      </x:c>
      <x:c r="D93" s="136" t="str">
        <x:v>Filter cars/bikes by curated model</x:v>
      </x:c>
      <x:c r="E93" s="136" t="str">
        <x:v>Signed V1</x:v>
      </x:c>
      <x:c r="F93" s="136" t="str">
        <x:v>Completed</x:v>
      </x:c>
      <x:c r="G93" s="137" t="n">
        <x:v>1</x:v>
      </x:c>
      <x:c r="H93" s="136" t="str">
        <x:v>High</x:v>
      </x:c>
      <x:c r="I93" s="136" t="str">
        <x:v>Stage 3</x:v>
      </x:c>
      <x:c r="J93" s="136" t="str">
        <x:v>Unassigned</x:v>
      </x:c>
      <x:c r="K93" s="136" t="str">
        <x:v>Taxonomy</x:v>
      </x:c>
      <x:c r="L93" s="136" t="str">
        <x:v>Results contain only selected model and implied make is consistent.</x:v>
      </x:c>
      <x:c r="M93" s="136" t="str">
        <x:v>Model/make overlap; ambiguous numeric names</x:v>
      </x:c>
      <x:c r="N93" s="136" t="str">
        <x:v>Implemented.</x:v>
      </x:c>
      <x:c r="O93" s="136" t="str">
        <x:v>Add browse-page controls and tests.</x:v>
      </x:c>
    </x:row>
    <x:row r="94">
      <x:c r="A94" s="135" t="str">
        <x:v>JW-090</x:v>
      </x:c>
      <x:c r="B94" s="135" t="str">
        <x:v>Search &amp; Browse</x:v>
      </x:c>
      <x:c r="C94" s="135" t="str">
        <x:v>City and province filters</x:v>
      </x:c>
      <x:c r="D94" s="136" t="str">
        <x:v>Filter all verticals by location</x:v>
      </x:c>
      <x:c r="E94" s="136" t="str">
        <x:v>Signed V1</x:v>
      </x:c>
      <x:c r="F94" s="136" t="str">
        <x:v>Completed</x:v>
      </x:c>
      <x:c r="G94" s="137" t="n">
        <x:v>1</x:v>
      </x:c>
      <x:c r="H94" s="136" t="str">
        <x:v>High</x:v>
      </x:c>
      <x:c r="I94" s="136" t="str">
        <x:v>Stage 3</x:v>
      </x:c>
      <x:c r="J94" s="136" t="str">
        <x:v>Unassigned</x:v>
      </x:c>
      <x:c r="K94" s="136" t="str">
        <x:v>Geography</x:v>
      </x:c>
      <x:c r="L94" s="136" t="str">
        <x:v>City/province results are accurate and city suppresses redundant province URL.</x:v>
      </x:c>
      <x:c r="M94" s="136" t="str">
        <x:v>City; province; combination; invalid slug</x:v>
      </x:c>
      <x:c r="N94" s="136" t="str">
        <x:v>Implemented in search and canonical builder.</x:v>
      </x:c>
      <x:c r="O94" s="136" t="str">
        <x:v>Add visible filter controls on browse pages.</x:v>
      </x:c>
    </x:row>
    <x:row r="95">
      <x:c r="A95" s="135" t="str">
        <x:v>JW-091</x:v>
      </x:c>
      <x:c r="B95" s="135" t="str">
        <x:v>Search &amp; Browse</x:v>
      </x:c>
      <x:c r="C95" s="135" t="str">
        <x:v>Body type filter</x:v>
      </x:c>
      <x:c r="D95" s="136" t="str">
        <x:v>Filter cars by supported body type</x:v>
      </x:c>
      <x:c r="E95" s="136" t="str">
        <x:v>Signed V1</x:v>
      </x:c>
      <x:c r="F95" s="136" t="str">
        <x:v>Completed</x:v>
      </x:c>
      <x:c r="G95" s="137" t="n">
        <x:v>1</x:v>
      </x:c>
      <x:c r="H95" s="136" t="str">
        <x:v>Medium</x:v>
      </x:c>
      <x:c r="I95" s="136" t="str">
        <x:v>Stage 3</x:v>
      </x:c>
      <x:c r="J95" s="136" t="str">
        <x:v>Unassigned</x:v>
      </x:c>
      <x:c r="K95" s="136" t="str">
        <x:v>Car facets</x:v>
      </x:c>
      <x:c r="L95" s="136" t="str">
        <x:v>Every visible body type returns only matching cars.</x:v>
      </x:c>
      <x:c r="M95" s="136" t="str">
        <x:v>Enum values; underscore/hyphen conversion; empty</x:v>
      </x:c>
      <x:c r="N95" s="136" t="str">
        <x:v>Implemented and exposed on homepage.</x:v>
      </x:c>
      <x:c r="O95" s="136" t="str">
        <x:v>Add browse filter UI and data tests.</x:v>
      </x:c>
    </x:row>
    <x:row r="96">
      <x:c r="A96" s="135" t="str">
        <x:v>JW-092</x:v>
      </x:c>
      <x:c r="B96" s="135" t="str">
        <x:v>Search &amp; Browse</x:v>
      </x:c>
      <x:c r="C96" s="135" t="str">
        <x:v>Transmission filter</x:v>
      </x:c>
      <x:c r="D96" s="136" t="str">
        <x:v>Manual/automatic car filtering</x:v>
      </x:c>
      <x:c r="E96" s="136" t="str">
        <x:v>Signed V1</x:v>
      </x:c>
      <x:c r="F96" s="136" t="str">
        <x:v>Completed</x:v>
      </x:c>
      <x:c r="G96" s="137" t="n">
        <x:v>1</x:v>
      </x:c>
      <x:c r="H96" s="136" t="str">
        <x:v>Medium</x:v>
      </x:c>
      <x:c r="I96" s="136" t="str">
        <x:v>Stage 3</x:v>
      </x:c>
      <x:c r="J96" s="136" t="str">
        <x:v>Unassigned</x:v>
      </x:c>
      <x:c r="K96" s="136" t="str">
        <x:v>Car facets</x:v>
      </x:c>
      <x:c r="L96" s="136" t="str">
        <x:v>Results accurately match selected transmission.</x:v>
      </x:c>
      <x:c r="M96" s="136" t="str">
        <x:v>Both values; invalid value; combinations</x:v>
      </x:c>
      <x:c r="N96" s="136" t="str">
        <x:v>Search and URL parser support it.</x:v>
      </x:c>
      <x:c r="O96" s="136" t="str">
        <x:v>Expose in browse filter UI.</x:v>
      </x:c>
    </x:row>
    <x:row r="97">
      <x:c r="A97" s="135" t="str">
        <x:v>JW-093</x:v>
      </x:c>
      <x:c r="B97" s="135" t="str">
        <x:v>Search &amp; Browse</x:v>
      </x:c>
      <x:c r="C97" s="135" t="str">
        <x:v>Fuel filter</x:v>
      </x:c>
      <x:c r="D97" s="136" t="str">
        <x:v>Fuel filtering for cars and bikes</x:v>
      </x:c>
      <x:c r="E97" s="136" t="str">
        <x:v>Signed V1</x:v>
      </x:c>
      <x:c r="F97" s="136" t="str">
        <x:v>Completed</x:v>
      </x:c>
      <x:c r="G97" s="137" t="n">
        <x:v>1</x:v>
      </x:c>
      <x:c r="H97" s="136" t="str">
        <x:v>Medium</x:v>
      </x:c>
      <x:c r="I97" s="136" t="str">
        <x:v>Stage 3</x:v>
      </x:c>
      <x:c r="J97" s="136" t="str">
        <x:v>Unassigned</x:v>
      </x:c>
      <x:c r="K97" s="136" t="str">
        <x:v>Vehicle facets</x:v>
      </x:c>
      <x:c r="L97" s="136" t="str">
        <x:v>Results accurately match selected fuel and unsupported values 404.</x:v>
      </x:c>
      <x:c r="M97" s="136" t="str">
        <x:v>All enum values; vertical restriction</x:v>
      </x:c>
      <x:c r="N97" s="136" t="str">
        <x:v>Implemented.</x:v>
      </x:c>
      <x:c r="O97" s="136" t="str">
        <x:v>Expose in browse filter UI.</x:v>
      </x:c>
    </x:row>
    <x:row r="98">
      <x:c r="A98" s="135" t="str">
        <x:v>JW-094</x:v>
      </x:c>
      <x:c r="B98" s="135" t="str">
        <x:v>Search &amp; Browse</x:v>
      </x:c>
      <x:c r="C98" s="135" t="str">
        <x:v>Assembly filter</x:v>
      </x:c>
      <x:c r="D98" s="136" t="str">
        <x:v>Local/imported car filtering</x:v>
      </x:c>
      <x:c r="E98" s="136" t="str">
        <x:v>Signed V1</x:v>
      </x:c>
      <x:c r="F98" s="136" t="str">
        <x:v>Completed</x:v>
      </x:c>
      <x:c r="G98" s="137" t="n">
        <x:v>1</x:v>
      </x:c>
      <x:c r="H98" s="136" t="str">
        <x:v>Low</x:v>
      </x:c>
      <x:c r="I98" s="136" t="str">
        <x:v>Stage 3</x:v>
      </x:c>
      <x:c r="J98" s="136" t="str">
        <x:v>Unassigned</x:v>
      </x:c>
      <x:c r="K98" s="136" t="str">
        <x:v>Car facets</x:v>
      </x:c>
      <x:c r="L98" s="136" t="str">
        <x:v>Results accurately match selected assembly.</x:v>
      </x:c>
      <x:c r="M98" s="136" t="str">
        <x:v>Local/imported; combinations</x:v>
      </x:c>
      <x:c r="N98" s="136" t="str">
        <x:v>Implemented in search.</x:v>
      </x:c>
      <x:c r="O98" s="136" t="str">
        <x:v>Expose in browse filter UI.</x:v>
      </x:c>
    </x:row>
    <x:row r="99">
      <x:c r="A99" s="135" t="str">
        <x:v>JW-095</x:v>
      </x:c>
      <x:c r="B99" s="135" t="str">
        <x:v>Search &amp; Browse</x:v>
      </x:c>
      <x:c r="C99" s="135" t="str">
        <x:v>Origin filter</x:v>
      </x:c>
      <x:c r="D99" s="136" t="str">
        <x:v>Filter cars by make country of origin</x:v>
      </x:c>
      <x:c r="E99" s="136" t="str">
        <x:v>Signed V1</x:v>
      </x:c>
      <x:c r="F99" s="136" t="str">
        <x:v>Completed</x:v>
      </x:c>
      <x:c r="G99" s="137" t="n">
        <x:v>1</x:v>
      </x:c>
      <x:c r="H99" s="136" t="str">
        <x:v>Low</x:v>
      </x:c>
      <x:c r="I99" s="136" t="str">
        <x:v>Stage 3</x:v>
      </x:c>
      <x:c r="J99" s="136" t="str">
        <x:v>Unassigned</x:v>
      </x:c>
      <x:c r="K99" s="136" t="str">
        <x:v>Make taxonomy</x:v>
      </x:c>
      <x:c r="L99" s="136" t="str">
        <x:v>Every origin page returns makes from that origin only.</x:v>
      </x:c>
      <x:c r="M99" s="136" t="str">
        <x:v>All supported origins; taxonomy gaps</x:v>
      </x:c>
      <x:c r="N99" s="136" t="str">
        <x:v>Implemented with subquery.</x:v>
      </x:c>
      <x:c r="O99" s="136" t="str">
        <x:v>Validate seed country values.</x:v>
      </x:c>
    </x:row>
    <x:row r="100">
      <x:c r="A100" s="135" t="str">
        <x:v>JW-096</x:v>
      </x:c>
      <x:c r="B100" s="135" t="str">
        <x:v>Search &amp; Browse</x:v>
      </x:c>
      <x:c r="C100" s="135" t="str">
        <x:v>Feature filter</x:v>
      </x:c>
      <x:c r="D100" s="136" t="str">
        <x:v>Require all selected car features</x:v>
      </x:c>
      <x:c r="E100" s="136" t="str">
        <x:v>Signed V1</x:v>
      </x:c>
      <x:c r="F100" s="136" t="str">
        <x:v>Completed</x:v>
      </x:c>
      <x:c r="G100" s="137" t="n">
        <x:v>1</x:v>
      </x:c>
      <x:c r="H100" s="136" t="str">
        <x:v>Medium</x:v>
      </x:c>
      <x:c r="I100" s="136" t="str">
        <x:v>Stage 3</x:v>
      </x:c>
      <x:c r="J100" s="136" t="str">
        <x:v>Unassigned</x:v>
      </x:c>
      <x:c r="K100" s="136" t="str">
        <x:v>Listing feature relation</x:v>
      </x:c>
      <x:c r="L100" s="136" t="str">
        <x:v>Multi-feature filtering uses AND semantics and never 500s.</x:v>
      </x:c>
      <x:c r="M100" s="136" t="str">
        <x:v>Single/multiple features; duplicate features; no match</x:v>
      </x:c>
      <x:c r="N100" s="136" t="str">
        <x:v>Implemented with correlated count query.</x:v>
      </x:c>
      <x:c r="O100" s="136" t="str">
        <x:v>Add database integration tests.</x:v>
      </x:c>
    </x:row>
    <x:row r="101">
      <x:c r="A101" s="135" t="str">
        <x:v>JW-097</x:v>
      </x:c>
      <x:c r="B101" s="135" t="str">
        <x:v>Search &amp; Browse</x:v>
      </x:c>
      <x:c r="C101" s="135" t="str">
        <x:v>Price range filter</x:v>
      </x:c>
      <x:c r="D101" s="136" t="str">
        <x:v>Minimum/maximum price across all verticals</x:v>
      </x:c>
      <x:c r="E101" s="136" t="str">
        <x:v>Signed V1</x:v>
      </x:c>
      <x:c r="F101" s="136" t="str">
        <x:v>Completed</x:v>
      </x:c>
      <x:c r="G101" s="137" t="n">
        <x:v>1</x:v>
      </x:c>
      <x:c r="H101" s="136" t="str">
        <x:v>High</x:v>
      </x:c>
      <x:c r="I101" s="136" t="str">
        <x:v>Stage 3</x:v>
      </x:c>
      <x:c r="J101" s="136" t="str">
        <x:v>Unassigned</x:v>
      </x:c>
      <x:c r="K101" s="136" t="str">
        <x:v>Range parsing</x:v>
      </x:c>
      <x:c r="L101" s="136" t="str">
        <x:v>Open and closed ranges filter accurately and remain noindex.</x:v>
      </x:c>
      <x:c r="M101" s="136" t="str">
        <x:v>Min/max/open/inverted/boundary</x:v>
      </x:c>
      <x:c r="N101" s="136" t="str">
        <x:v>Implemented in search and homepage.</x:v>
      </x:c>
      <x:c r="O101" s="136" t="str">
        <x:v>Add browse UI and DB assertions.</x:v>
      </x:c>
    </x:row>
    <x:row r="102">
      <x:c r="A102" s="135" t="str">
        <x:v>JW-098</x:v>
      </x:c>
      <x:c r="B102" s="135" t="str">
        <x:v>Search &amp; Browse</x:v>
      </x:c>
      <x:c r="C102" s="135" t="str">
        <x:v>Year range filter</x:v>
      </x:c>
      <x:c r="D102" s="136" t="str">
        <x:v>Model year range for cars and bikes</x:v>
      </x:c>
      <x:c r="E102" s="136" t="str">
        <x:v>Signed V1</x:v>
      </x:c>
      <x:c r="F102" s="136" t="str">
        <x:v>Completed</x:v>
      </x:c>
      <x:c r="G102" s="137" t="n">
        <x:v>1</x:v>
      </x:c>
      <x:c r="H102" s="136" t="str">
        <x:v>High</x:v>
      </x:c>
      <x:c r="I102" s="136" t="str">
        <x:v>Stage 3</x:v>
      </x:c>
      <x:c r="J102" s="136" t="str">
        <x:v>Unassigned</x:v>
      </x:c>
      <x:c r="K102" s="136" t="str">
        <x:v>Range parsing</x:v>
      </x:c>
      <x:c r="L102" s="136" t="str">
        <x:v>Results fall within inclusive boundaries.</x:v>
      </x:c>
      <x:c r="M102" s="136" t="str">
        <x:v>Open/closed/inverted/boundary</x:v>
      </x:c>
      <x:c r="N102" s="136" t="str">
        <x:v>Implemented in search and homepage.</x:v>
      </x:c>
      <x:c r="O102" s="136" t="str">
        <x:v>Add browse UI.</x:v>
      </x:c>
    </x:row>
    <x:row r="103">
      <x:c r="A103" s="135" t="str">
        <x:v>JW-099</x:v>
      </x:c>
      <x:c r="B103" s="135" t="str">
        <x:v>Search &amp; Browse</x:v>
      </x:c>
      <x:c r="C103" s="135" t="str">
        <x:v>Mileage range filter</x:v>
      </x:c>
      <x:c r="D103" s="136" t="str">
        <x:v>Mileage range for cars and bikes</x:v>
      </x:c>
      <x:c r="E103" s="136" t="str">
        <x:v>Signed V1</x:v>
      </x:c>
      <x:c r="F103" s="136" t="str">
        <x:v>Completed</x:v>
      </x:c>
      <x:c r="G103" s="137" t="n">
        <x:v>1</x:v>
      </x:c>
      <x:c r="H103" s="136" t="str">
        <x:v>Medium</x:v>
      </x:c>
      <x:c r="I103" s="136" t="str">
        <x:v>Stage 3</x:v>
      </x:c>
      <x:c r="J103" s="136" t="str">
        <x:v>Unassigned</x:v>
      </x:c>
      <x:c r="K103" s="136" t="str">
        <x:v>Range parsing</x:v>
      </x:c>
      <x:c r="L103" s="136" t="str">
        <x:v>Results fall within inclusive mileage boundaries.</x:v>
      </x:c>
      <x:c r="M103" s="136" t="str">
        <x:v>Zero/open/max/boundary</x:v>
      </x:c>
      <x:c r="N103" s="136" t="str">
        <x:v>Backend supports it; no visible browse control.</x:v>
      </x:c>
      <x:c r="O103" s="136" t="str">
        <x:v>Expose in More Filters.</x:v>
      </x:c>
    </x:row>
    <x:row r="104">
      <x:c r="A104" s="135" t="str">
        <x:v>JW-100</x:v>
      </x:c>
      <x:c r="B104" s="135" t="str">
        <x:v>Search &amp; Browse</x:v>
      </x:c>
      <x:c r="C104" s="135" t="str">
        <x:v>Engine capacity filter</x:v>
      </x:c>
      <x:c r="D104" s="136" t="str">
        <x:v>Engine cc range for vehicles</x:v>
      </x:c>
      <x:c r="E104" s="136" t="str">
        <x:v>Signed V1</x:v>
      </x:c>
      <x:c r="F104" s="136" t="str">
        <x:v>Completed</x:v>
      </x:c>
      <x:c r="G104" s="137" t="n">
        <x:v>1</x:v>
      </x:c>
      <x:c r="H104" s="136" t="str">
        <x:v>Low</x:v>
      </x:c>
      <x:c r="I104" s="136" t="str">
        <x:v>Stage 3</x:v>
      </x:c>
      <x:c r="J104" s="136" t="str">
        <x:v>Unassigned</x:v>
      </x:c>
      <x:c r="K104" s="136" t="str">
        <x:v>Range parsing</x:v>
      </x:c>
      <x:c r="L104" s="136" t="str">
        <x:v>Results fall within inclusive engine range.</x:v>
      </x:c>
      <x:c r="M104" s="136" t="str">
        <x:v>Open/closed/boundary</x:v>
      </x:c>
      <x:c r="N104" s="136" t="str">
        <x:v>Backend supports it; no visible browse control.</x:v>
      </x:c>
      <x:c r="O104" s="136" t="str">
        <x:v>Expose where appropriate.</x:v>
      </x:c>
    </x:row>
    <x:row r="105">
      <x:c r="A105" s="135" t="str">
        <x:v>JW-101</x:v>
      </x:c>
      <x:c r="B105" s="135" t="str">
        <x:v>Search &amp; Browse</x:v>
      </x:c>
      <x:c r="C105" s="135" t="str">
        <x:v>Auto-parts category filter</x:v>
      </x:c>
      <x:c r="D105" s="136" t="str">
        <x:v>Filter parts by selected category</x:v>
      </x:c>
      <x:c r="E105" s="136" t="str">
        <x:v>Signed V1</x:v>
      </x:c>
      <x:c r="F105" s="136" t="str">
        <x:v>Completed</x:v>
      </x:c>
      <x:c r="G105" s="137" t="n">
        <x:v>1</x:v>
      </x:c>
      <x:c r="H105" s="136" t="str">
        <x:v>Critical</x:v>
      </x:c>
      <x:c r="I105" s="136" t="str">
        <x:v>Stage 1</x:v>
      </x:c>
      <x:c r="J105" s="136" t="str">
        <x:v>Unassigned</x:v>
      </x:c>
      <x:c r="K105" s="136" t="str">
        <x:v>partDetails join</x:v>
      </x:c>
      <x:c r="L105" s="136" t="str">
        <x:v>Category URLs return only listings in that category.</x:v>
      </x:c>
      <x:c r="M105" s="136" t="str">
        <x:v>Multiple categories; invalid; empty; child category</x:v>
      </x:c>
      <x:c r="N105" s="136" t="str">
        <x:v>Parts category/condition/compatibility filtering and browse filter UI are implemented.</x:v>
      </x:c>
      <x:c r="O105" s="136" t="str">
        <x:v>Retain in final regression and comprehensive browser QA.</x:v>
      </x:c>
    </x:row>
    <x:row r="106">
      <x:c r="A106" s="135" t="str">
        <x:v>JW-102</x:v>
      </x:c>
      <x:c r="B106" s="135" t="str">
        <x:v>Search &amp; Browse</x:v>
      </x:c>
      <x:c r="C106" s="135" t="str">
        <x:v>Auto-parts condition filter</x:v>
      </x:c>
      <x:c r="D106" s="136" t="str">
        <x:v>New/used/refurbished filtering</x:v>
      </x:c>
      <x:c r="E106" s="136" t="str">
        <x:v>Signed V1</x:v>
      </x:c>
      <x:c r="F106" s="136" t="str">
        <x:v>Completed</x:v>
      </x:c>
      <x:c r="G106" s="137" t="n">
        <x:v>1</x:v>
      </x:c>
      <x:c r="H106" s="136" t="str">
        <x:v>Critical</x:v>
      </x:c>
      <x:c r="I106" s="136" t="str">
        <x:v>Stage 1</x:v>
      </x:c>
      <x:c r="J106" s="136" t="str">
        <x:v>Unassigned</x:v>
      </x:c>
      <x:c r="K106" s="136" t="str">
        <x:v>partDetails join</x:v>
      </x:c>
      <x:c r="L106" s="136" t="str">
        <x:v>Condition URLs return only matching parts.</x:v>
      </x:c>
      <x:c r="M106" s="136" t="str">
        <x:v>All conditions; combinations; invalid</x:v>
      </x:c>
      <x:c r="N106" s="136" t="str">
        <x:v>Parts category/condition/compatibility filtering and browse filter UI are implemented.</x:v>
      </x:c>
      <x:c r="O106" s="136" t="str">
        <x:v>Retain in final regression and comprehensive browser QA.</x:v>
      </x:c>
    </x:row>
    <x:row r="107">
      <x:c r="A107" s="135" t="str">
        <x:v>JW-103</x:v>
      </x:c>
      <x:c r="B107" s="135" t="str">
        <x:v>Search &amp; Browse</x:v>
      </x:c>
      <x:c r="C107" s="135" t="str">
        <x:v>Auto-parts compatibility filter</x:v>
      </x:c>
      <x:c r="D107" s="136" t="str">
        <x:v>Filter parts by compatible make/model</x:v>
      </x:c>
      <x:c r="E107" s="136" t="str">
        <x:v>Signed V1</x:v>
      </x:c>
      <x:c r="F107" s="136" t="str">
        <x:v>Completed</x:v>
      </x:c>
      <x:c r="G107" s="137" t="n">
        <x:v>1</x:v>
      </x:c>
      <x:c r="H107" s="136" t="str">
        <x:v>Medium</x:v>
      </x:c>
      <x:c r="I107" s="136" t="str">
        <x:v>Stage 3</x:v>
      </x:c>
      <x:c r="J107" s="136" t="str">
        <x:v>Unassigned</x:v>
      </x:c>
      <x:c r="K107" s="136" t="str">
        <x:v>Part creation data</x:v>
      </x:c>
      <x:c r="L107" s="136" t="str">
        <x:v>Buyer can select compatibility and results include exact/universal parts per approved rule.</x:v>
      </x:c>
      <x:c r="M107" s="136" t="str">
        <x:v>Exact make/model; universal; mismatches</x:v>
      </x:c>
      <x:c r="N107" s="136" t="str">
        <x:v>Parts category/condition/compatibility filtering and browse filter UI are implemented.</x:v>
      </x:c>
      <x:c r="O107" s="136" t="str">
        <x:v>Retain in final regression and comprehensive browser QA.</x:v>
      </x:c>
    </x:row>
    <x:row r="108">
      <x:c r="A108" s="135" t="str">
        <x:v>JW-104</x:v>
      </x:c>
      <x:c r="B108" s="135" t="str">
        <x:v>Search &amp; Browse</x:v>
      </x:c>
      <x:c r="C108" s="135" t="str">
        <x:v>Browse-page filter UI</x:v>
      </x:c>
      <x:c r="D108" s="136" t="str">
        <x:v>Visible desktop/mobile controls for supported filters</x:v>
      </x:c>
      <x:c r="E108" s="136" t="str">
        <x:v>Signed V1</x:v>
      </x:c>
      <x:c r="F108" s="136" t="str">
        <x:v>Completed</x:v>
      </x:c>
      <x:c r="G108" s="137" t="n">
        <x:v>1</x:v>
      </x:c>
      <x:c r="H108" s="136" t="str">
        <x:v>Critical</x:v>
      </x:c>
      <x:c r="I108" s="136" t="str">
        <x:v>Stage 3</x:v>
      </x:c>
      <x:c r="J108" s="136" t="str">
        <x:v>Unassigned</x:v>
      </x:c>
      <x:c r="K108" s="136" t="str">
        <x:v>Correct backend filters</x:v>
      </x:c>
      <x:c r="L108" s="136" t="str">
        <x:v>Users can refine results without manually editing URLs; selected state is visible and clearable.</x:v>
      </x:c>
      <x:c r="M108" s="136" t="str">
        <x:v>Every filter; mobile drawer; back/forward; URL sync</x:v>
      </x:c>
      <x:c r="N108" s="136" t="str">
        <x:v>Parts category/condition/compatibility filtering and browse filter UI are implemented.</x:v>
      </x:c>
      <x:c r="O108" s="136" t="str">
        <x:v>Retain in final regression and comprehensive browser QA.</x:v>
      </x:c>
    </x:row>
    <x:row r="109">
      <x:c r="A109" s="135" t="str">
        <x:v>JW-105</x:v>
      </x:c>
      <x:c r="B109" s="135" t="str">
        <x:v>Search &amp; Browse</x:v>
      </x:c>
      <x:c r="C109" s="135" t="str">
        <x:v>Sorting</x:v>
      </x:c>
      <x:c r="D109" s="136" t="str">
        <x:v>Recent, price, year and mileage ordering</x:v>
      </x:c>
      <x:c r="E109" s="136" t="str">
        <x:v>Signed V1</x:v>
      </x:c>
      <x:c r="F109" s="136" t="str">
        <x:v>Completed</x:v>
      </x:c>
      <x:c r="G109" s="137" t="n">
        <x:v>1</x:v>
      </x:c>
      <x:c r="H109" s="136" t="str">
        <x:v>High</x:v>
      </x:c>
      <x:c r="I109" s="136" t="str">
        <x:v>Stage 3</x:v>
      </x:c>
      <x:c r="J109" s="136" t="str">
        <x:v>Unassigned</x:v>
      </x:c>
      <x:c r="K109" s="136" t="str">
        <x:v>Search query</x:v>
      </x:c>
      <x:c r="L109" s="136" t="str">
        <x:v>All sort modes are stable, correct and canonicalized as noindex variants.</x:v>
      </x:c>
      <x:c r="M109" s="136" t="str">
        <x:v>Each sort; equal values; invalid sort</x:v>
      </x:c>
      <x:c r="N109" s="136" t="str">
        <x:v>SortSelect and backend ordering exist.</x:v>
      </x:c>
      <x:c r="O109" s="136" t="str">
        <x:v>Validate invalid sort handling and add tests.</x:v>
      </x:c>
    </x:row>
    <x:row r="110">
      <x:c r="A110" s="135" t="str">
        <x:v>JW-106</x:v>
      </x:c>
      <x:c r="B110" s="135" t="str">
        <x:v>Search &amp; Browse</x:v>
      </x:c>
      <x:c r="C110" s="135" t="str">
        <x:v>Pagination</x:v>
      </x:c>
      <x:c r="D110" s="136" t="str">
        <x:v>25 results per page with stable navigation</x:v>
      </x:c>
      <x:c r="E110" s="136" t="str">
        <x:v>Signed V1</x:v>
      </x:c>
      <x:c r="F110" s="136" t="str">
        <x:v>Completed</x:v>
      </x:c>
      <x:c r="G110" s="137" t="n">
        <x:v>1</x:v>
      </x:c>
      <x:c r="H110" s="136" t="str">
        <x:v>High</x:v>
      </x:c>
      <x:c r="I110" s="136" t="str">
        <x:v>Stage 3</x:v>
      </x:c>
      <x:c r="J110" s="136" t="str">
        <x:v>Unassigned</x:v>
      </x:c>
      <x:c r="K110" s="136" t="str">
        <x:v>Search total</x:v>
      </x:c>
      <x:c r="L110" s="136" t="str">
        <x:v>Correct page count, boundaries, query preservation and no duplicate/missing records.</x:v>
      </x:c>
      <x:c r="M110" s="136" t="str">
        <x:v>Page 1/middle/last/out-of-range; stable order</x:v>
      </x:c>
      <x:c r="N110" s="136" t="str">
        <x:v>Pagination component and count query exist.</x:v>
      </x:c>
      <x:c r="O110" s="136" t="str">
        <x:v>Add large dataset integration tests.</x:v>
      </x:c>
    </x:row>
    <x:row r="111">
      <x:c r="A111" s="135" t="str">
        <x:v>JW-107</x:v>
      </x:c>
      <x:c r="B111" s="135" t="str">
        <x:v>Search &amp; Browse</x:v>
      </x:c>
      <x:c r="C111" s="135" t="str">
        <x:v>Empty/loading/error states</x:v>
      </x:c>
      <x:c r="D111" s="136" t="str">
        <x:v>Clear states for no results and transient failures</x:v>
      </x:c>
      <x:c r="E111" s="136" t="str">
        <x:v>Signed V1</x:v>
      </x:c>
      <x:c r="F111" s="136" t="str">
        <x:v>Partially Implemented</x:v>
      </x:c>
      <x:c r="G111" s="137" t="n">
        <x:v>0.97</x:v>
      </x:c>
      <x:c r="H111" s="136" t="str">
        <x:v>High</x:v>
      </x:c>
      <x:c r="I111" s="136" t="str">
        <x:v>Stage 3</x:v>
      </x:c>
      <x:c r="J111" s="136" t="str">
        <x:v>Unassigned</x:v>
      </x:c>
      <x:c r="K111" s="136" t="str">
        <x:v>Browse UI</x:v>
      </x:c>
      <x:c r="L111" s="136" t="str">
        <x:v>No-result state is actionable; loading and recoverable errors do not show framework crashes.</x:v>
      </x:c>
      <x:c r="M111" s="136" t="str">
        <x:v>Empty DB; query failure; slow response</x:v>
      </x:c>
      <x:c r="N111" s="136" t="str">
        <x:v>Existing real DB failure/recovery acceptance retained; delayed seller action shows pending state and disables repeat clicks in desktop/mobile. Explicit exhausted write-limit notice displayed.</x:v>
      </x:c>
      <x:c r="O111" s="136" t="str">
        <x:v>Real slow-network/device and live provider-outage acceptance remain.</x:v>
      </x:c>
    </x:row>
    <x:row r="112">
      <x:c r="A112" s="135" t="str">
        <x:v>JW-108</x:v>
      </x:c>
      <x:c r="B112" s="135" t="str">
        <x:v>Search &amp; Browse</x:v>
      </x:c>
      <x:c r="C112" s="135" t="str">
        <x:v>Search performance</x:v>
      </x:c>
      <x:c r="D112" s="136" t="str">
        <x:v>Indexed PostgreSQL queries for 20,000+ listings</x:v>
      </x:c>
      <x:c r="E112" s="136" t="str">
        <x:v>Signed V1</x:v>
      </x:c>
      <x:c r="F112" s="136" t="str">
        <x:v>Partially Implemented</x:v>
      </x:c>
      <x:c r="G112" s="137" t="n">
        <x:v>0.95</x:v>
      </x:c>
      <x:c r="H112" s="136" t="str">
        <x:v>Critical</x:v>
      </x:c>
      <x:c r="I112" s="136" t="str">
        <x:v>Stage 6</x:v>
      </x:c>
      <x:c r="J112" s="136" t="str">
        <x:v>Unassigned</x:v>
      </x:c>
      <x:c r="K112" s="136" t="str">
        <x:v>Production-like DB</x:v>
      </x:c>
      <x:c r="L112" s="136" t="str">
        <x:v>P95 response time meets agreed target under representative filters and concurrency.</x:v>
      </x:c>
      <x:c r="M112" s="136" t="str">
        <x:v>EXPLAIN ANALYZE; 20k listings; 500 concurrent users</x:v>
      </x:c>
      <x:c r="N112" s="136" t="str">
        <x:v>Pagination now precedes browse enrichment; indexed correlated primary photo replaces full-image aggregate. Rollback-only 20,000-ad full-query benchmark covers car/bike/part first and offset-5000 pages; first-page 127-152 ms to 1.4-2.4 ms, deep pages 141-221 ms to 34-44 ms locally. DB compares six sorts/two pages/all verticals including NULL/ties and duplicate-position photo. See LOCAL_QUERY_PLAN_REPORT.md.</x:v>
      </x:c>
      <x:c r="O112" s="136" t="str">
        <x:v>Repeat concurrent full-query benchmark on representative HTTPS staging host/data; local query measurements are not 500-user capacity acceptance.</x:v>
      </x:c>
    </x:row>
    <x:row r="113">
      <x:c r="A113" s="135" t="str">
        <x:v>JW-109</x:v>
      </x:c>
      <x:c r="B113" s="135" t="str">
        <x:v>Listing Detail &amp; Contact</x:v>
      </x:c>
      <x:c r="C113" s="135" t="str">
        <x:v>Unified detail pages</x:v>
      </x:c>
      <x:c r="D113" s="136" t="str">
        <x:v>Cars, bikes and parts render category-specific details</x:v>
      </x:c>
      <x:c r="E113" s="136" t="str">
        <x:v>Signed V1</x:v>
      </x:c>
      <x:c r="F113" s="136" t="str">
        <x:v>Completed</x:v>
      </x:c>
      <x:c r="G113" s="137" t="n">
        <x:v>1</x:v>
      </x:c>
      <x:c r="H113" s="136" t="str">
        <x:v>Critical</x:v>
      </x:c>
      <x:c r="I113" s="136" t="str">
        <x:v>Stage 3</x:v>
      </x:c>
      <x:c r="J113" s="136" t="str">
        <x:v>Unassigned</x:v>
      </x:c>
      <x:c r="K113" s="136" t="str">
        <x:v>Listing data</x:v>
      </x:c>
      <x:c r="L113" s="136" t="str">
        <x:v>Correct fields, title, price, location and images render for every vertical.</x:v>
      </x:c>
      <x:c r="M113" s="136" t="str">
        <x:v>Representative listings; missing optional fields; mobile</x:v>
      </x:c>
      <x:c r="N113" s="136" t="str">
        <x:v>Shared detail query and component exist.</x:v>
      </x:c>
      <x:c r="O113" s="136" t="str">
        <x:v>Add cross-vertical E2E coverage.</x:v>
      </x:c>
    </x:row>
    <x:row r="114">
      <x:c r="A114" s="135" t="str">
        <x:v>JW-110</x:v>
      </x:c>
      <x:c r="B114" s="135" t="str">
        <x:v>Listing Detail &amp; Contact</x:v>
      </x:c>
      <x:c r="C114" s="135" t="str">
        <x:v>Image gallery</x:v>
      </x:c>
      <x:c r="D114" s="136" t="str">
        <x:v>Primary image and horizontally scrollable thumbnails</x:v>
      </x:c>
      <x:c r="E114" s="136" t="str">
        <x:v>Signed V1</x:v>
      </x:c>
      <x:c r="F114" s="136" t="str">
        <x:v>Completed</x:v>
      </x:c>
      <x:c r="G114" s="137" t="n">
        <x:v>1</x:v>
      </x:c>
      <x:c r="H114" s="136" t="str">
        <x:v>High</x:v>
      </x:c>
      <x:c r="I114" s="136" t="str">
        <x:v>Stage 3</x:v>
      </x:c>
      <x:c r="J114" s="136" t="str">
        <x:v>Unassigned</x:v>
      </x:c>
      <x:c r="K114" s="136" t="str">
        <x:v>Listing images</x:v>
      </x:c>
      <x:c r="L114" s="136" t="str">
        <x:v>First image is prioritized and thumbnails load without layout shift.</x:v>
      </x:c>
      <x:c r="M114" s="136" t="str">
        <x:v>1/2/12/30 images; missing images; mobile</x:v>
      </x:c>
      <x:c r="N114" s="136" t="str">
        <x:v>Gallery exists.</x:v>
      </x:c>
      <x:c r="O114" s="136" t="str">
        <x:v>Add interactive primary-image selection if required; currently thumbnails are display-only.</x:v>
      </x:c>
    </x:row>
    <x:row r="115">
      <x:c r="A115" s="135" t="str">
        <x:v>JW-111</x:v>
      </x:c>
      <x:c r="B115" s="135" t="str">
        <x:v>Listing Detail &amp; Contact</x:v>
      </x:c>
      <x:c r="C115" s="135" t="str">
        <x:v>Specifications</x:v>
      </x:c>
      <x:c r="D115" s="136" t="str">
        <x:v>Relevant vehicle/part specifications and features</x:v>
      </x:c>
      <x:c r="E115" s="136" t="str">
        <x:v>Signed V1</x:v>
      </x:c>
      <x:c r="F115" s="136" t="str">
        <x:v>Completed</x:v>
      </x:c>
      <x:c r="G115" s="137" t="n">
        <x:v>1</x:v>
      </x:c>
      <x:c r="H115" s="136" t="str">
        <x:v>High</x:v>
      </x:c>
      <x:c r="I115" s="136" t="str">
        <x:v>Stage 3</x:v>
      </x:c>
      <x:c r="J115" s="136" t="str">
        <x:v>Unassigned</x:v>
      </x:c>
      <x:c r="K115" s="136" t="str">
        <x:v>Detail data</x:v>
      </x:c>
      <x:c r="L115" s="136" t="str">
        <x:v>Only applicable fields render with understandable fallbacks.</x:v>
      </x:c>
      <x:c r="M115" s="136" t="str">
        <x:v>All optional fields; each vertical</x:v>
      </x:c>
      <x:c r="N115" s="136" t="str">
        <x:v>Implemented.</x:v>
      </x:c>
      <x:c r="O115" s="136" t="str">
        <x:v>Reconcile with completed creation fields.</x:v>
      </x:c>
    </x:row>
    <x:row r="116">
      <x:c r="A116" s="135" t="str">
        <x:v>JW-112</x:v>
      </x:c>
      <x:c r="B116" s="135" t="str">
        <x:v>Listing Detail &amp; Contact</x:v>
      </x:c>
      <x:c r="C116" s="135" t="str">
        <x:v>Similar listings</x:v>
      </x:c>
      <x:c r="D116" s="136" t="str">
        <x:v>Same-model active listings prioritized by city and price</x:v>
      </x:c>
      <x:c r="E116" s="136" t="str">
        <x:v>Signed V1</x:v>
      </x:c>
      <x:c r="F116" s="136" t="str">
        <x:v>Completed</x:v>
      </x:c>
      <x:c r="G116" s="137" t="n">
        <x:v>1</x:v>
      </x:c>
      <x:c r="H116" s="136" t="str">
        <x:v>Medium</x:v>
      </x:c>
      <x:c r="I116" s="136" t="str">
        <x:v>Stage 3</x:v>
      </x:c>
      <x:c r="J116" s="136" t="str">
        <x:v>Unassigned</x:v>
      </x:c>
      <x:c r="K116" s="136" t="str">
        <x:v>Model taxonomy</x:v>
      </x:c>
      <x:c r="L116" s="136" t="str">
        <x:v>Current listing is excluded; only active relevant ads appear.</x:v>
      </x:c>
      <x:c r="M116" s="136" t="str">
        <x:v>No model; no similar; same city/price ordering</x:v>
      </x:c>
      <x:c r="N116" s="136" t="str">
        <x:v>Implemented for model-based listings.</x:v>
      </x:c>
      <x:c r="O116" s="136" t="str">
        <x:v>Define parts similarity later if needed.</x:v>
      </x:c>
    </x:row>
    <x:row r="117">
      <x:c r="A117" s="135" t="str">
        <x:v>JW-113</x:v>
      </x:c>
      <x:c r="B117" s="135" t="str">
        <x:v>Listing Detail &amp; Contact</x:v>
      </x:c>
      <x:c r="C117" s="135" t="str">
        <x:v>Phone reveal</x:v>
      </x:c>
      <x:c r="D117" s="136" t="str">
        <x:v>Masked number revealed on deliberate buyer action</x:v>
      </x:c>
      <x:c r="E117" s="136" t="str">
        <x:v>Signed V1</x:v>
      </x:c>
      <x:c r="F117" s="136" t="str">
        <x:v>Completed</x:v>
      </x:c>
      <x:c r="G117" s="137" t="n">
        <x:v>1</x:v>
      </x:c>
      <x:c r="H117" s="136" t="str">
        <x:v>Critical</x:v>
      </x:c>
      <x:c r="I117" s="136" t="str">
        <x:v>Stage 3</x:v>
      </x:c>
      <x:c r="J117" s="136" t="str">
        <x:v>Unassigned</x:v>
      </x:c>
      <x:c r="K117" s="136" t="str">
        <x:v>Active listing and seller</x:v>
      </x:c>
      <x:c r="L117" s="136" t="str">
        <x:v>Only active listing numbers are revealed and tel link works.</x:v>
      </x:c>
      <x:c r="M117" s="136" t="str">
        <x:v>Active/inactive/missing; anonymous/auth; phone formats</x:v>
      </x:c>
      <x:c r="N117" s="136" t="str">
        <x:v>8 Oct: contact action rejects inactive/deleted ads and banned/closed/anonymized owners. Browser regression replays a previously captured reveal after ban and checks no phone disclosure.</x:v>
      </x:c>
      <x:c r="O117" s="136" t="str">
        <x:v>Add rate limiting/anti-scraping.</x:v>
      </x:c>
    </x:row>
    <x:row r="118">
      <x:c r="A118" s="135" t="str">
        <x:v>JW-114</x:v>
      </x:c>
      <x:c r="B118" s="135" t="str">
        <x:v>Listing Detail &amp; Contact</x:v>
      </x:c>
      <x:c r="C118" s="135" t="str">
        <x:v>Phone lead analytics</x:v>
      </x:c>
      <x:c r="D118" s="136" t="str">
        <x:v>Record reveal and increment listing lead count</x:v>
      </x:c>
      <x:c r="E118" s="136" t="str">
        <x:v>Signed V1</x:v>
      </x:c>
      <x:c r="F118" s="136" t="str">
        <x:v>Completed</x:v>
      </x:c>
      <x:c r="G118" s="137" t="n">
        <x:v>1</x:v>
      </x:c>
      <x:c r="H118" s="136" t="str">
        <x:v>High</x:v>
      </x:c>
      <x:c r="I118" s="136" t="str">
        <x:v>Stage 3</x:v>
      </x:c>
      <x:c r="J118" s="136" t="str">
        <x:v>Unassigned</x:v>
      </x:c>
      <x:c r="K118" s="136" t="str">
        <x:v>Lead events</x:v>
      </x:c>
      <x:c r="L118" s="136" t="str">
        <x:v>Analytics failure never blocks contact; dashboard count updates.</x:v>
      </x:c>
      <x:c r="M118" s="136" t="str">
        <x:v>Insert failure; repeat clicks; concurrency</x:v>
      </x:c>
      <x:c r="N118" s="136" t="str">
        <x:v>8 Oct review #9: handled lead errors log fixed event plus safe SQLSTATE only, never raw query/message/parameters. Source bounded to known values; private marker logging regression passes.</x:v>
      </x:c>
      <x:c r="O118" s="136" t="str">
        <x:v>Define deduplication policy and test.</x:v>
      </x:c>
    </x:row>
    <x:row r="119">
      <x:c r="A119" s="135" t="str">
        <x:v>JW-115</x:v>
      </x:c>
      <x:c r="B119" s="135" t="str">
        <x:v>Listing Detail &amp; Contact</x:v>
      </x:c>
      <x:c r="C119" s="135" t="str">
        <x:v>WhatsApp seller action</x:v>
      </x:c>
      <x:c r="D119" s="136" t="str">
        <x:v>Open direct WhatsApp contact and record click</x:v>
      </x:c>
      <x:c r="E119" s="136" t="str">
        <x:v>Signed V1</x:v>
      </x:c>
      <x:c r="F119" s="136" t="str">
        <x:v>Completed</x:v>
      </x:c>
      <x:c r="G119" s="137" t="n">
        <x:v>1</x:v>
      </x:c>
      <x:c r="H119" s="136" t="str">
        <x:v>High</x:v>
      </x:c>
      <x:c r="I119" s="136" t="str">
        <x:v>Stage 3</x:v>
      </x:c>
      <x:c r="J119" s="136" t="str">
        <x:v>Unassigned</x:v>
      </x:c>
      <x:c r="K119" s="136" t="str">
        <x:v>Approved seller phone/WhatsApp</x:v>
      </x:c>
      <x:c r="L119" s="136" t="str">
        <x:v>Action opens a valid wa.me link for active listings and records a lead event.</x:v>
      </x:c>
      <x:c r="M119" s="136" t="str">
        <x:v>Phone normalization; active/inactive; mobile/desktop</x:v>
      </x:c>
      <x:c r="N119" s="136" t="str">
        <x:v>Contact actions and inactive-listing contact restrictions are implemented in current detail routes.</x:v>
      </x:c>
      <x:c r="O119" s="136" t="str">
        <x:v>Retain in final regression and comprehensive browser QA.</x:v>
      </x:c>
    </x:row>
    <x:row r="120">
      <x:c r="A120" s="135" t="str">
        <x:v>JW-116</x:v>
      </x:c>
      <x:c r="B120" s="135" t="str">
        <x:v>Listing Detail &amp; Contact</x:v>
      </x:c>
      <x:c r="C120" s="135" t="str">
        <x:v>Dealer contact/profile link</x:v>
      </x:c>
      <x:c r="D120" s="136" t="str">
        <x:v>Show dealer identity and inventory link</x:v>
      </x:c>
      <x:c r="E120" s="136" t="str">
        <x:v>Signed V1</x:v>
      </x:c>
      <x:c r="F120" s="136" t="str">
        <x:v>Completed</x:v>
      </x:c>
      <x:c r="G120" s="137" t="n">
        <x:v>1</x:v>
      </x:c>
      <x:c r="H120" s="136" t="str">
        <x:v>Medium</x:v>
      </x:c>
      <x:c r="I120" s="136" t="str">
        <x:v>Stage 3</x:v>
      </x:c>
      <x:c r="J120" s="136" t="str">
        <x:v>Unassigned</x:v>
      </x:c>
      <x:c r="K120" s="136" t="str">
        <x:v>Dealer relation</x:v>
      </x:c>
      <x:c r="L120" s="136" t="str">
        <x:v>Dealer listing links to correct storefront; private sellers remain clearly labeled.</x:v>
      </x:c>
      <x:c r="M120" s="136" t="str">
        <x:v>Dealer/private; missing dealer; unverified badge</x:v>
      </x:c>
      <x:c r="N120" s="136" t="str">
        <x:v>Implemented.</x:v>
      </x:c>
      <x:c r="O120" s="136" t="str">
        <x:v>Add dealer-profile click tracking if required.</x:v>
      </x:c>
    </x:row>
    <x:row r="121">
      <x:c r="A121" s="135" t="str">
        <x:v>JW-117</x:v>
      </x:c>
      <x:c r="B121" s="135" t="str">
        <x:v>Listing Detail &amp; Contact</x:v>
      </x:c>
      <x:c r="C121" s="135" t="str">
        <x:v>Inspection link</x:v>
      </x:c>
      <x:c r="D121" s="136" t="str">
        <x:v>Pre-fill listing ID in inspection request</x:v>
      </x:c>
      <x:c r="E121" s="136" t="str">
        <x:v>Signed V1</x:v>
      </x:c>
      <x:c r="F121" s="136" t="str">
        <x:v>Completed</x:v>
      </x:c>
      <x:c r="G121" s="137" t="n">
        <x:v>1</x:v>
      </x:c>
      <x:c r="H121" s="136" t="str">
        <x:v>Medium</x:v>
      </x:c>
      <x:c r="I121" s="136" t="str">
        <x:v>Stage 5</x:v>
      </x:c>
      <x:c r="J121" s="136" t="str">
        <x:v>Unassigned</x:v>
      </x:c>
      <x:c r="K121" s="136" t="str">
        <x:v>Inspection route</x:v>
      </x:c>
      <x:c r="L121" s="136" t="str">
        <x:v>Car detail opens inspection form tied to the correct listing.</x:v>
      </x:c>
      <x:c r="M121" s="136" t="str">
        <x:v>Valid/invalid listing ID; non-car listing</x:v>
      </x:c>
      <x:c r="N121" s="136" t="str">
        <x:v>Desktop/mobile car-linked inspection acceptance preserves listing reference across sign-in and stores the request/event; forged or unavailable IDs fail without creating a request.</x:v>
      </x:c>
      <x:c r="O121" s="136" t="str">
        <x:v>Retain passing linked-request tests; complete remaining service action negatives under JW-166.</x:v>
      </x:c>
    </x:row>
    <x:row r="122">
      <x:c r="A122" s="135" t="str">
        <x:v>JW-118</x:v>
      </x:c>
      <x:c r="B122" s="135" t="str">
        <x:v>Listing Detail &amp; Contact</x:v>
      </x:c>
      <x:c r="C122" s="135" t="str">
        <x:v>View counting</x:v>
      </x:c>
      <x:c r="D122" s="136" t="str">
        <x:v>Increment listing view after response streaming</x:v>
      </x:c>
      <x:c r="E122" s="136" t="str">
        <x:v>Signed V1</x:v>
      </x:c>
      <x:c r="F122" s="136" t="str">
        <x:v>Partially Implemented</x:v>
      </x:c>
      <x:c r="G122" s="137" t="n">
        <x:v>0.65</x:v>
      </x:c>
      <x:c r="H122" s="136" t="str">
        <x:v>Medium</x:v>
      </x:c>
      <x:c r="I122" s="136" t="str">
        <x:v>Stage 3</x:v>
      </x:c>
      <x:c r="J122" s="136" t="str">
        <x:v>Product Owner</x:v>
      </x:c>
      <x:c r="K122" s="136" t="str">
        <x:v>Database</x:v>
      </x:c>
      <x:c r="L122" s="136" t="str">
        <x:v>Human views are counted consistently without blocking response or inflating from owner/bots beyond approved rules.</x:v>
      </x:c>
      <x:c r="M122" s="136" t="str">
        <x:v>Repeated/bot/owner; DB failure; concurrency</x:v>
      </x:c>
      <x:c r="N122" s="136" t="str">
        <x:v>Raw view counter remains a render counter including repeats/crawlers. docs/OPERATIONS.md explicitly excludes it from unique-visitor and conversion-rate claims.</x:v>
      </x:c>
      <x:c r="O122" s="136" t="str">
        <x:v>Define whether V1 needs unique human views and its privacy/identity policy before changing counting semantics.</x:v>
      </x:c>
    </x:row>
    <x:row r="123">
      <x:c r="A123" s="135" t="str">
        <x:v>JW-119</x:v>
      </x:c>
      <x:c r="B123" s="135" t="str">
        <x:v>Listing Detail &amp; Contact</x:v>
      </x:c>
      <x:c r="C123" s="135" t="str">
        <x:v>Inactive contact restriction</x:v>
      </x:c>
      <x:c r="D123" s="136" t="str">
        <x:v>Disable contact actions for non-active listings</x:v>
      </x:c>
      <x:c r="E123" s="136" t="str">
        <x:v>Signed V1</x:v>
      </x:c>
      <x:c r="F123" s="136" t="str">
        <x:v>Completed</x:v>
      </x:c>
      <x:c r="G123" s="137" t="n">
        <x:v>1</x:v>
      </x:c>
      <x:c r="H123" s="136" t="str">
        <x:v>Critical</x:v>
      </x:c>
      <x:c r="I123" s="136" t="str">
        <x:v>Stage 1</x:v>
      </x:c>
      <x:c r="J123" s="136" t="str">
        <x:v>Unassigned</x:v>
      </x:c>
      <x:c r="K123" s="136" t="str">
        <x:v>Inactive visibility guard</x:v>
      </x:c>
      <x:c r="L123" s="136" t="str">
        <x:v>No number/WhatsApp/inspection action is available on private/removed states.</x:v>
      </x:c>
      <x:c r="M123" s="136" t="str">
        <x:v>Each inactive status; direct action invocation</x:v>
      </x:c>
      <x:c r="N123" s="136" t="str">
        <x:v>Contact actions and inactive-listing contact restrictions are implemented in current detail routes.</x:v>
      </x:c>
      <x:c r="O123" s="136" t="str">
        <x:v>Retain in final regression and comprehensive browser QA.</x:v>
      </x:c>
    </x:row>
    <x:row r="124">
      <x:c r="A124" s="135" t="str">
        <x:v>JW-120</x:v>
      </x:c>
      <x:c r="B124" s="135" t="str">
        <x:v>Buyer Features</x:v>
      </x:c>
      <x:c r="C124" s="135" t="str">
        <x:v>Favourites persistence</x:v>
      </x:c>
      <x:c r="D124" s="136" t="str">
        <x:v>Save/unsave listing per authenticated user</x:v>
      </x:c>
      <x:c r="E124" s="136" t="str">
        <x:v>Signed V1</x:v>
      </x:c>
      <x:c r="F124" s="136" t="str">
        <x:v>Completed</x:v>
      </x:c>
      <x:c r="G124" s="137" t="n">
        <x:v>1</x:v>
      </x:c>
      <x:c r="H124" s="136" t="str">
        <x:v>High</x:v>
      </x:c>
      <x:c r="I124" s="136" t="str">
        <x:v>Stage 3</x:v>
      </x:c>
      <x:c r="J124" s="136" t="str">
        <x:v>Unassigned</x:v>
      </x:c>
      <x:c r="K124" s="136" t="str">
        <x:v>saved_listings table</x:v>
      </x:c>
      <x:c r="L124" s="136" t="str">
        <x:v>Save is idempotent, owner-specific and rejects unavailable listings.</x:v>
      </x:c>
      <x:c r="M124" s="136" t="str">
        <x:v>Add/remove/duplicate; auth; removed listing</x:v>
      </x:c>
      <x:c r="N124" s="136" t="str">
        <x:v>Buyer discovery package implements favourites, recently viewed, comparison and saved-search management.</x:v>
      </x:c>
      <x:c r="O124" s="136" t="str">
        <x:v>Retain in final regression and comprehensive browser QA.</x:v>
      </x:c>
    </x:row>
    <x:row r="125">
      <x:c r="A125" s="135" t="str">
        <x:v>JW-121</x:v>
      </x:c>
      <x:c r="B125" s="135" t="str">
        <x:v>Buyer Features</x:v>
      </x:c>
      <x:c r="C125" s="135" t="str">
        <x:v>Favourite controls</x:v>
      </x:c>
      <x:c r="D125" s="136" t="str">
        <x:v>Heart action on cards and detail pages</x:v>
      </x:c>
      <x:c r="E125" s="136" t="str">
        <x:v>Signed V1</x:v>
      </x:c>
      <x:c r="F125" s="136" t="str">
        <x:v>Completed</x:v>
      </x:c>
      <x:c r="G125" s="137" t="n">
        <x:v>1</x:v>
      </x:c>
      <x:c r="H125" s="136" t="str">
        <x:v>High</x:v>
      </x:c>
      <x:c r="I125" s="136" t="str">
        <x:v>Stage 3</x:v>
      </x:c>
      <x:c r="J125" s="136" t="str">
        <x:v>Unassigned</x:v>
      </x:c>
      <x:c r="K125" s="136" t="str">
        <x:v>Favourites persistence</x:v>
      </x:c>
      <x:c r="L125" s="136" t="str">
        <x:v>Control reflects saved state, works by keyboard and handles login redirect/error.</x:v>
      </x:c>
      <x:c r="M125" s="136" t="str">
        <x:v>Card/detail; signed-out/in; optimistic failure</x:v>
      </x:c>
      <x:c r="N125" s="136" t="str">
        <x:v>Buyer discovery package implements favourites, recently viewed, comparison and saved-search management.</x:v>
      </x:c>
      <x:c r="O125" s="136" t="str">
        <x:v>Retain in final regression and comprehensive browser QA.</x:v>
      </x:c>
    </x:row>
    <x:row r="126">
      <x:c r="A126" s="135" t="str">
        <x:v>JW-122</x:v>
      </x:c>
      <x:c r="B126" s="135" t="str">
        <x:v>Buyer Features</x:v>
      </x:c>
      <x:c r="C126" s="135" t="str">
        <x:v>Saved listings page</x:v>
      </x:c>
      <x:c r="D126" s="136" t="str">
        <x:v>Account page listing favourites</x:v>
      </x:c>
      <x:c r="E126" s="136" t="str">
        <x:v>Signed V1</x:v>
      </x:c>
      <x:c r="F126" s="136" t="str">
        <x:v>Completed</x:v>
      </x:c>
      <x:c r="G126" s="137" t="n">
        <x:v>1</x:v>
      </x:c>
      <x:c r="H126" s="136" t="str">
        <x:v>Medium</x:v>
      </x:c>
      <x:c r="I126" s="136" t="str">
        <x:v>Stage 3</x:v>
      </x:c>
      <x:c r="J126" s="136" t="str">
        <x:v>Unassigned</x:v>
      </x:c>
      <x:c r="K126" s="136" t="str">
        <x:v>Favourites persistence</x:v>
      </x:c>
      <x:c r="L126" s="136" t="str">
        <x:v>Shows current saved listings, removes unavailable items appropriately and supports empty state.</x:v>
      </x:c>
      <x:c r="M126" s="136" t="str">
        <x:v>Empty/populated/stale; pagination</x:v>
      </x:c>
      <x:c r="N126" s="136" t="str">
        <x:v>Buyer discovery package implements favourites, recently viewed, comparison and saved-search management.</x:v>
      </x:c>
      <x:c r="O126" s="136" t="str">
        <x:v>Retain in final regression and comprehensive browser QA.</x:v>
      </x:c>
    </x:row>
    <x:row r="127">
      <x:c r="A127" s="135" t="str">
        <x:v>JW-123</x:v>
      </x:c>
      <x:c r="B127" s="135" t="str">
        <x:v>Buyer Features</x:v>
      </x:c>
      <x:c r="C127" s="135" t="str">
        <x:v>Recently viewed persistence</x:v>
      </x:c>
      <x:c r="D127" s="136" t="str">
        <x:v>Track recent listing IDs for anonymous and signed-in visitors</x:v>
      </x:c>
      <x:c r="E127" s="136" t="str">
        <x:v>Signed V1</x:v>
      </x:c>
      <x:c r="F127" s="136" t="str">
        <x:v>Completed</x:v>
      </x:c>
      <x:c r="G127" s="137" t="n">
        <x:v>1</x:v>
      </x:c>
      <x:c r="H127" s="136" t="str">
        <x:v>Medium</x:v>
      </x:c>
      <x:c r="I127" s="136" t="str">
        <x:v>Stage 3</x:v>
      </x:c>
      <x:c r="J127" s="136" t="str">
        <x:v>Unassigned</x:v>
      </x:c>
      <x:c r="K127" s="136" t="str">
        <x:v>Privacy/retention design</x:v>
      </x:c>
      <x:c r="L127" s="136" t="str">
        <x:v>History is bounded, ordered, consent-compliant and excludes inaccessible listings.</x:v>
      </x:c>
      <x:c r="M127" s="136" t="str">
        <x:v>Anonymous/auth merge; stale/removed; limit</x:v>
      </x:c>
      <x:c r="N127" s="136" t="str">
        <x:v>Buyer discovery package implements favourites, recently viewed, comparison and saved-search management.</x:v>
      </x:c>
      <x:c r="O127" s="136" t="str">
        <x:v>Retain in final regression and comprehensive browser QA.</x:v>
      </x:c>
    </x:row>
    <x:row r="128">
      <x:c r="A128" s="135" t="str">
        <x:v>JW-124</x:v>
      </x:c>
      <x:c r="B128" s="135" t="str">
        <x:v>Buyer Features</x:v>
      </x:c>
      <x:c r="C128" s="135" t="str">
        <x:v>Recently viewed UI</x:v>
      </x:c>
      <x:c r="D128" s="136" t="str">
        <x:v>Conditional homepage/detail row</x:v>
      </x:c>
      <x:c r="E128" s="136" t="str">
        <x:v>Signed V1</x:v>
      </x:c>
      <x:c r="F128" s="136" t="str">
        <x:v>Completed</x:v>
      </x:c>
      <x:c r="G128" s="137" t="n">
        <x:v>1</x:v>
      </x:c>
      <x:c r="H128" s="136" t="str">
        <x:v>Medium</x:v>
      </x:c>
      <x:c r="I128" s="136" t="str">
        <x:v>Stage 3</x:v>
      </x:c>
      <x:c r="J128" s="136" t="str">
        <x:v>Unassigned</x:v>
      </x:c>
      <x:c r="K128" s="136" t="str">
        <x:v>Recently viewed persistence</x:v>
      </x:c>
      <x:c r="L128" s="136" t="str">
        <x:v>Section hides for new users and renders compact valid cards when populated.</x:v>
      </x:c>
      <x:c r="M128" s="136" t="str">
        <x:v>Empty/populated/mobile; stale data</x:v>
      </x:c>
      <x:c r="N128" s="136" t="str">
        <x:v>Buyer discovery package implements favourites, recently viewed, comparison and saved-search management.</x:v>
      </x:c>
      <x:c r="O128" s="136" t="str">
        <x:v>Retain in final regression and comprehensive browser QA.</x:v>
      </x:c>
    </x:row>
    <x:row r="129">
      <x:c r="A129" s="135" t="str">
        <x:v>JW-125</x:v>
      </x:c>
      <x:c r="B129" s="135" t="str">
        <x:v>Buyer Features</x:v>
      </x:c>
      <x:c r="C129" s="135" t="str">
        <x:v>Vehicle comparison selection</x:v>
      </x:c>
      <x:c r="D129" s="136" t="str">
        <x:v>Add/remove 2-3 compatible vehicle listings</x:v>
      </x:c>
      <x:c r="E129" s="136" t="str">
        <x:v>Signed V1</x:v>
      </x:c>
      <x:c r="F129" s="136" t="str">
        <x:v>Completed</x:v>
      </x:c>
      <x:c r="G129" s="137" t="n">
        <x:v>1</x:v>
      </x:c>
      <x:c r="H129" s="136" t="str">
        <x:v>High</x:v>
      </x:c>
      <x:c r="I129" s="136" t="str">
        <x:v>Stage 3</x:v>
      </x:c>
      <x:c r="J129" s="136" t="str">
        <x:v>Unassigned</x:v>
      </x:c>
      <x:c r="K129" s="136" t="str">
        <x:v>Comparison rules</x:v>
      </x:c>
      <x:c r="L129" s="136" t="str">
        <x:v>Only comparable listings are selected; limit and persistence are clear.</x:v>
      </x:c>
      <x:c r="M129" s="136" t="str">
        <x:v>2/3/4 items; cross-vertical; removed listing</x:v>
      </x:c>
      <x:c r="N129" s="136" t="str">
        <x:v>Buyer discovery package implements favourites, recently viewed, comparison and saved-search management.</x:v>
      </x:c>
      <x:c r="O129" s="136" t="str">
        <x:v>Retain in final regression and comprehensive browser QA.</x:v>
      </x:c>
    </x:row>
    <x:row r="130">
      <x:c r="A130" s="135" t="str">
        <x:v>JW-126</x:v>
      </x:c>
      <x:c r="B130" s="135" t="str">
        <x:v>Buyer Features</x:v>
      </x:c>
      <x:c r="C130" s="135" t="str">
        <x:v>Comparison page</x:v>
      </x:c>
      <x:c r="D130" s="136" t="str">
        <x:v>Side-by-side specs for 2-3 listings</x:v>
      </x:c>
      <x:c r="E130" s="136" t="str">
        <x:v>Signed V1</x:v>
      </x:c>
      <x:c r="F130" s="136" t="str">
        <x:v>Completed</x:v>
      </x:c>
      <x:c r="G130" s="137" t="n">
        <x:v>1</x:v>
      </x:c>
      <x:c r="H130" s="136" t="str">
        <x:v>High</x:v>
      </x:c>
      <x:c r="I130" s="136" t="str">
        <x:v>Stage 3</x:v>
      </x:c>
      <x:c r="J130" s="136" t="str">
        <x:v>Unassigned</x:v>
      </x:c>
      <x:c r="K130" s="136" t="str">
        <x:v>Comparison selection</x:v>
      </x:c>
      <x:c r="L130" s="136" t="str">
        <x:v>Differences are readable on desktop/mobile and missing values are explicit.</x:v>
      </x:c>
      <x:c r="M130" s="136" t="str">
        <x:v>Different specs; responsive; share/back navigation</x:v>
      </x:c>
      <x:c r="N130" s="136" t="str">
        <x:v>Buyer discovery package implements favourites, recently viewed, comparison and saved-search management.</x:v>
      </x:c>
      <x:c r="O130" s="136" t="str">
        <x:v>Retain in final regression and comprehensive browser QA.</x:v>
      </x:c>
    </x:row>
    <x:row r="131">
      <x:c r="A131" s="135" t="str">
        <x:v>JW-127</x:v>
      </x:c>
      <x:c r="B131" s="135" t="str">
        <x:v>Buyer Features</x:v>
      </x:c>
      <x:c r="C131" s="135" t="str">
        <x:v>Saved search creation</x:v>
      </x:c>
      <x:c r="D131" s="136" t="str">
        <x:v>Persist current parsed filters for signed-in user</x:v>
      </x:c>
      <x:c r="E131" s="136" t="str">
        <x:v>Signed V1</x:v>
      </x:c>
      <x:c r="F131" s="136" t="str">
        <x:v>Completed</x:v>
      </x:c>
      <x:c r="G131" s="137" t="n">
        <x:v>1</x:v>
      </x:c>
      <x:c r="H131" s="136" t="str">
        <x:v>High</x:v>
      </x:c>
      <x:c r="I131" s="136" t="str">
        <x:v>Stage 3</x:v>
      </x:c>
      <x:c r="J131" s="136" t="str">
        <x:v>Unassigned</x:v>
      </x:c>
      <x:c r="K131" s="136" t="str">
        <x:v>saved_searches table</x:v>
      </x:c>
      <x:c r="L131" s="136" t="str">
        <x:v>Saved filters replay exactly and duplicates are handled clearly.</x:v>
      </x:c>
      <x:c r="M131" s="136" t="str">
        <x:v>All verticals; complex facets; auth; duplicate</x:v>
      </x:c>
      <x:c r="N131" s="136" t="str">
        <x:v>Buyer discovery package implements favourites, recently viewed, comparison and saved-search management.</x:v>
      </x:c>
      <x:c r="O131" s="136" t="str">
        <x:v>Retain in final regression and comprehensive browser QA.</x:v>
      </x:c>
    </x:row>
    <x:row r="132">
      <x:c r="A132" s="135" t="str">
        <x:v>JW-128</x:v>
      </x:c>
      <x:c r="B132" s="135" t="str">
        <x:v>Buyer Features</x:v>
      </x:c>
      <x:c r="C132" s="135" t="str">
        <x:v>Saved search management</x:v>
      </x:c>
      <x:c r="D132" s="136" t="str">
        <x:v>List, rename, change frequency and delete saved searches</x:v>
      </x:c>
      <x:c r="E132" s="136" t="str">
        <x:v>Signed V1</x:v>
      </x:c>
      <x:c r="F132" s="136" t="str">
        <x:v>Completed</x:v>
      </x:c>
      <x:c r="G132" s="137" t="n">
        <x:v>1</x:v>
      </x:c>
      <x:c r="H132" s="136" t="str">
        <x:v>Medium</x:v>
      </x:c>
      <x:c r="I132" s="136" t="str">
        <x:v>Stage 3</x:v>
      </x:c>
      <x:c r="J132" s="136" t="str">
        <x:v>Unassigned</x:v>
      </x:c>
      <x:c r="K132" s="136" t="str">
        <x:v>Saved search creation</x:v>
      </x:c>
      <x:c r="L132" s="136" t="str">
        <x:v>User controls only their saved searches and sees current match links.</x:v>
      </x:c>
      <x:c r="M132" s="136" t="str">
        <x:v>Ownership; edit/delete; empty state</x:v>
      </x:c>
      <x:c r="N132" s="136" t="str">
        <x:v>Buyer discovery package implements favourites, recently viewed, comparison and saved-search management.</x:v>
      </x:c>
      <x:c r="O132" s="136" t="str">
        <x:v>Retain in final regression and comprehensive browser QA.</x:v>
      </x:c>
    </x:row>
    <x:row r="133">
      <x:c r="A133" s="135" t="str">
        <x:v>JW-129</x:v>
      </x:c>
      <x:c r="B133" s="135" t="str">
        <x:v>Buyer Features</x:v>
      </x:c>
      <x:c r="C133" s="135" t="str">
        <x:v>Matching-listing alerts</x:v>
      </x:c>
      <x:c r="D133" s="136" t="str">
        <x:v>Email notifications for new matches</x:v>
      </x:c>
      <x:c r="E133" s="136" t="str">
        <x:v>Signed V1</x:v>
      </x:c>
      <x:c r="F133" s="136" t="str">
        <x:v>Launch Configuration Pending</x:v>
      </x:c>
      <x:c r="G133" s="137" t="n">
        <x:v>0.9</x:v>
      </x:c>
      <x:c r="H133" s="136" t="str">
        <x:v>High</x:v>
      </x:c>
      <x:c r="I133" s="136" t="str">
        <x:v>Stage 3</x:v>
      </x:c>
      <x:c r="J133" s="136" t="str">
        <x:v>Backend</x:v>
      </x:c>
      <x:c r="K133" s="136" t="str">
        <x:v>Email provider and saved searches</x:v>
      </x:c>
      <x:c r="L133" s="136" t="str">
        <x:v>New matching listings trigger consented, deduplicated alerts with unsubscribe/control.</x:v>
      </x:c>
      <x:c r="M133" s="136" t="str">
        <x:v>Match accuracy; frequency; duplicates; delivery failure; unsubscribe</x:v>
      </x:c>
      <x:c r="N133" s="136" t="str">
        <x:v>8 Oct review #4/risk #10: closure replay suppresses old undelivered alerts before preference restore. Banned listing owners cannot match or deliver to another buyer. DB regressions pass; live mail/scheduling remain.</x:v>
      </x:c>
      <x:c r="O133" s="136" t="str">
        <x:v>Configure verified Resend sender and credentials, schedule queue/delivery, review initial backlog and complete controlled mailbox, outage and deliverability acceptance.</x:v>
      </x:c>
    </x:row>
    <x:row r="134">
      <x:c r="A134" s="135" t="str">
        <x:v>JW-130</x:v>
      </x:c>
      <x:c r="B134" s="135" t="str">
        <x:v>Dealer Features</x:v>
      </x:c>
      <x:c r="C134" s="135" t="str">
        <x:v>Dealer registration</x:v>
      </x:c>
      <x:c r="D134" s="136" t="str">
        <x:v>Create business profile with city, address, landline, WhatsApp and about</x:v>
      </x:c>
      <x:c r="E134" s="136" t="str">
        <x:v>Signed V1</x:v>
      </x:c>
      <x:c r="F134" s="136" t="str">
        <x:v>Completed</x:v>
      </x:c>
      <x:c r="G134" s="137" t="n">
        <x:v>1</x:v>
      </x:c>
      <x:c r="H134" s="136" t="str">
        <x:v>High</x:v>
      </x:c>
      <x:c r="I134" s="136" t="str">
        <x:v>Stage 4</x:v>
      </x:c>
      <x:c r="J134" s="136" t="str">
        <x:v>Unassigned</x:v>
      </x:c>
      <x:c r="K134" s="136" t="str">
        <x:v>Authenticated account</x:v>
      </x:c>
      <x:c r="L134" s="136" t="str">
        <x:v>One dealer profile per user; validation and unique permanent slug work.</x:v>
      </x:c>
      <x:c r="M134" s="136" t="str">
        <x:v>Happy path; duplicate user; duplicate slug; invalid data</x:v>
      </x:c>
      <x:c r="N134" s="136" t="str">
        <x:v>Dealer registration and owner settings/logo implemented. Concurrent same-account duplicate submissions serialize on the owner row and retain exactly one original profile; different-owner slug claims resolve root/root-2. Desktop/mobile forced HTTP acceptance passes; live provider acceptance remains.</x:v>
      </x:c>
      <x:c r="O134" s="136" t="str">
        <x:v>Obtain new-head independent review and live operational/provider acceptance.</x:v>
      </x:c>
    </x:row>
    <x:row r="135">
      <x:c r="A135" s="135" t="str">
        <x:v>JW-131</x:v>
      </x:c>
      <x:c r="B135" s="135" t="str">
        <x:v>Dealer Features</x:v>
      </x:c>
      <x:c r="C135" s="135" t="str">
        <x:v>Dealer public directory</x:v>
      </x:c>
      <x:c r="D135" s="136" t="str">
        <x:v>Group dealers by city with live inventory counts</x:v>
      </x:c>
      <x:c r="E135" s="136" t="str">
        <x:v>Signed V1</x:v>
      </x:c>
      <x:c r="F135" s="136" t="str">
        <x:v>Completed</x:v>
      </x:c>
      <x:c r="G135" s="137" t="n">
        <x:v>1</x:v>
      </x:c>
      <x:c r="H135" s="136" t="str">
        <x:v>High</x:v>
      </x:c>
      <x:c r="I135" s="136" t="str">
        <x:v>Stage 4</x:v>
      </x:c>
      <x:c r="J135" s="136" t="str">
        <x:v>QA</x:v>
      </x:c>
      <x:c r="K135" s="136" t="str">
        <x:v>Dealer data</x:v>
      </x:c>
      <x:c r="L135" s="136" t="str">
        <x:v>Page labeling matches whether it lists all or only verified dealers and counts are accurate.</x:v>
      </x:c>
      <x:c r="M135" s="136" t="str">
        <x:v>Verified/unverified; zero listings; pagination</x:v>
      </x:c>
      <x:c r="N135" s="136" t="str">
        <x:v>Desktop/mobile deterministic inventory acceptance passes: 26 active ads, 25+1 disjoint pages, total count independent of page size, stable ordering, invalid page fallback, inactive inventory denial and banned dealer exclusion. Fixed missing storefront pagination and truncated total.</x:v>
      </x:c>
      <x:c r="O135" s="136" t="str">
        <x:v>Include dealer inventory in routine release regression; live/device acceptance remains in launch QA.</x:v>
      </x:c>
    </x:row>
    <x:row r="136">
      <x:c r="A136" s="135" t="str">
        <x:v>JW-132</x:v>
      </x:c>
      <x:c r="B136" s="135" t="str">
        <x:v>Dealer Features</x:v>
      </x:c>
      <x:c r="C136" s="135" t="str">
        <x:v>Dealer storefront</x:v>
      </x:c>
      <x:c r="D136" s="136" t="str">
        <x:v>Public dealer page with profile and active inventory</x:v>
      </x:c>
      <x:c r="E136" s="136" t="str">
        <x:v>Signed V1</x:v>
      </x:c>
      <x:c r="F136" s="136" t="str">
        <x:v>Completed</x:v>
      </x:c>
      <x:c r="G136" s="137" t="n">
        <x:v>1</x:v>
      </x:c>
      <x:c r="H136" s="136" t="str">
        <x:v>High</x:v>
      </x:c>
      <x:c r="I136" s="136" t="str">
        <x:v>Stage 4</x:v>
      </x:c>
      <x:c r="J136" s="136" t="str">
        <x:v>Unassigned</x:v>
      </x:c>
      <x:c r="K136" s="136" t="str">
        <x:v>Dealer listings</x:v>
      </x:c>
      <x:c r="L136" s="136" t="str">
        <x:v>Only active inventory is shown with correct business/location information.</x:v>
      </x:c>
      <x:c r="M136" s="136" t="str">
        <x:v>Unknown slug; empty inventory; pagination; mobile</x:v>
      </x:c>
      <x:c r="N136" s="136" t="str">
        <x:v>Storefront queries active listings across verticals and passes row.vertical to ListingCard, supporting cars, bikes and parts. Public route/accessibility checks pass; deterministic count and pagination acceptance remains in T-032.</x:v>
      </x:c>
      <x:c r="O136" s="136" t="str">
        <x:v>Verify mixed-vertical inventory/counts and pagination in T-032; no bike/parts extension is required.</x:v>
      </x:c>
    </x:row>
    <x:row r="137">
      <x:c r="A137" s="135" t="str">
        <x:v>JW-133</x:v>
      </x:c>
      <x:c r="B137" s="135" t="str">
        <x:v>Dealer Features</x:v>
      </x:c>
      <x:c r="C137" s="135" t="str">
        <x:v>Dealer dashboard</x:v>
      </x:c>
      <x:c r="D137" s="136" t="str">
        <x:v>Basic counts for active, pending, sold, leads and views</x:v>
      </x:c>
      <x:c r="E137" s="136" t="str">
        <x:v>Signed V1</x:v>
      </x:c>
      <x:c r="F137" s="136" t="str">
        <x:v>Completed</x:v>
      </x:c>
      <x:c r="G137" s="137" t="n">
        <x:v>1</x:v>
      </x:c>
      <x:c r="H137" s="136" t="str">
        <x:v>High</x:v>
      </x:c>
      <x:c r="I137" s="136" t="str">
        <x:v>Stage 4</x:v>
      </x:c>
      <x:c r="J137" s="136" t="str">
        <x:v>Unassigned</x:v>
      </x:c>
      <x:c r="K137" s="136" t="str">
        <x:v>Dealer relation</x:v>
      </x:c>
      <x:c r="L137" s="136" t="str">
        <x:v>Only dealer owner accesses correct aggregated counts.</x:v>
      </x:c>
      <x:c r="M137" s="136" t="str">
        <x:v>Dealer/non-dealer; empty; many listings</x:v>
      </x:c>
      <x:c r="N137" s="136" t="str">
        <x:v>Implemented.</x:v>
      </x:c>
      <x:c r="O137" s="136" t="str">
        <x:v>Update pending terminology after instant-publish correction.</x:v>
      </x:c>
    </x:row>
    <x:row r="138">
      <x:c r="A138" s="135" t="str">
        <x:v>JW-134</x:v>
      </x:c>
      <x:c r="B138" s="135" t="str">
        <x:v>Dealer Features</x:v>
      </x:c>
      <x:c r="C138" s="135" t="str">
        <x:v>Dealer profile editing</x:v>
      </x:c>
      <x:c r="D138" s="136" t="str">
        <x:v>Update business details, contact, about and logo</x:v>
      </x:c>
      <x:c r="E138" s="136" t="str">
        <x:v>Signed V1</x:v>
      </x:c>
      <x:c r="F138" s="136" t="str">
        <x:v>Completed</x:v>
      </x:c>
      <x:c r="G138" s="137" t="n">
        <x:v>1</x:v>
      </x:c>
      <x:c r="H138" s="136" t="str">
        <x:v>High</x:v>
      </x:c>
      <x:c r="I138" s="136" t="str">
        <x:v>Stage 4</x:v>
      </x:c>
      <x:c r="J138" s="136" t="str">
        <x:v>Unassigned</x:v>
      </x:c>
      <x:c r="K138" s="136" t="str">
        <x:v>Dealer dashboard and uploads</x:v>
      </x:c>
      <x:c r="L138" s="136" t="str">
        <x:v>Only dealer owner/admin can update; slug policy and validation are preserved.</x:v>
      </x:c>
      <x:c r="M138" s="136" t="str">
        <x:v>Owner/non-owner; duplicate fields; image replacement</x:v>
      </x:c>
      <x:c r="N138" s="136" t="str">
        <x:v>Dealer settings, logo, manual verification/revocation, badges and inventory management are implemented.</x:v>
      </x:c>
      <x:c r="O138" s="136" t="str">
        <x:v>Retain in final regression and comprehensive browser QA.</x:v>
      </x:c>
    </x:row>
    <x:row r="139">
      <x:c r="A139" s="135" t="str">
        <x:v>JW-135</x:v>
      </x:c>
      <x:c r="B139" s="135" t="str">
        <x:v>Dealer Features</x:v>
      </x:c>
      <x:c r="C139" s="135" t="str">
        <x:v>Dealer logo upload</x:v>
      </x:c>
      <x:c r="D139" s="136" t="str">
        <x:v>Securely upload and display showroom logo</x:v>
      </x:c>
      <x:c r="E139" s="136" t="str">
        <x:v>Signed V1</x:v>
      </x:c>
      <x:c r="F139" s="136" t="str">
        <x:v>Completed</x:v>
      </x:c>
      <x:c r="G139" s="137" t="n">
        <x:v>1</x:v>
      </x:c>
      <x:c r="H139" s="136" t="str">
        <x:v>Medium</x:v>
      </x:c>
      <x:c r="I139" s="136" t="str">
        <x:v>Stage 4</x:v>
      </x:c>
      <x:c r="J139" s="136" t="str">
        <x:v>Unassigned</x:v>
      </x:c>
      <x:c r="K139" s="136" t="str">
        <x:v>Dealer edit and media ownership</x:v>
      </x:c>
      <x:c r="L139" s="136" t="str">
        <x:v>Logo is owner-controlled, validated and displayed consistently.</x:v>
      </x:c>
      <x:c r="M139" s="136" t="str">
        <x:v>Upload/replace/delete; dimensions; malicious files</x:v>
      </x:c>
      <x:c r="N139" s="136" t="str">
        <x:v>Dealer settings, logo, manual verification/revocation, badges and inventory management are implemented.</x:v>
      </x:c>
      <x:c r="O139" s="136" t="str">
        <x:v>Retain in final regression and comprehensive browser QA.</x:v>
      </x:c>
    </x:row>
    <x:row r="140">
      <x:c r="A140" s="135" t="str">
        <x:v>JW-136</x:v>
      </x:c>
      <x:c r="B140" s="135" t="str">
        <x:v>Dealer Features</x:v>
      </x:c>
      <x:c r="C140" s="135" t="str">
        <x:v>Manual dealer verification</x:v>
      </x:c>
      <x:c r="D140" s="136" t="str">
        <x:v>Admin approves, revokes and records dealer verification</x:v>
      </x:c>
      <x:c r="E140" s="136" t="str">
        <x:v>Signed V1</x:v>
      </x:c>
      <x:c r="F140" s="136" t="str">
        <x:v>Completed</x:v>
      </x:c>
      <x:c r="G140" s="137" t="n">
        <x:v>1</x:v>
      </x:c>
      <x:c r="H140" s="136" t="str">
        <x:v>Critical</x:v>
      </x:c>
      <x:c r="I140" s="136" t="str">
        <x:v>Stage 4</x:v>
      </x:c>
      <x:c r="J140" s="136" t="str">
        <x:v>Unassigned</x:v>
      </x:c>
      <x:c r="K140" s="136" t="str">
        <x:v>Admin controls</x:v>
      </x:c>
      <x:c r="L140" s="136" t="str">
        <x:v>Only admin changes verifiedAt; badge updates everywhere; reason/audit is recorded.</x:v>
      </x:c>
      <x:c r="M140" s="136" t="str">
        <x:v>Approve/revoke; non-admin; homepage/directory/detail badge</x:v>
      </x:c>
      <x:c r="N140" s="136" t="str">
        <x:v>Manual dealer verification is implemented. Desktop/mobile Chromium now confirms admin grant and reasoned revocation, changed public verified badge, and new append-only audit entries in isolated PostgreSQL.</x:v>
      </x:c>
      <x:c r="O140" s="136" t="str">
        <x:v>Final live administrator review can be included in launch acceptance; provider/hosting setup is separate.</x:v>
      </x:c>
    </x:row>
    <x:row r="141">
      <x:c r="A141" s="135" t="str">
        <x:v>JW-137</x:v>
      </x:c>
      <x:c r="B141" s="135" t="str">
        <x:v>Dealer Features</x:v>
      </x:c>
      <x:c r="C141" s="135" t="str">
        <x:v>Verified badge consistency</x:v>
      </x:c>
      <x:c r="D141" s="136" t="str">
        <x:v>Badge appears only for verified dealers across cards, homepage, directory and storefront</x:v>
      </x:c>
      <x:c r="E141" s="136" t="str">
        <x:v>Signed V1</x:v>
      </x:c>
      <x:c r="F141" s="136" t="str">
        <x:v>Completed</x:v>
      </x:c>
      <x:c r="G141" s="137" t="n">
        <x:v>1</x:v>
      </x:c>
      <x:c r="H141" s="136" t="str">
        <x:v>High</x:v>
      </x:c>
      <x:c r="I141" s="136" t="str">
        <x:v>Stage 4</x:v>
      </x:c>
      <x:c r="J141" s="136" t="str">
        <x:v>Unassigned</x:v>
      </x:c>
      <x:c r="K141" s="136" t="str">
        <x:v>Verification workflow</x:v>
      </x:c>
      <x:c r="L141" s="136" t="str">
        <x:v>All surfaces use the same verifiedAt source and never infer verification from seller type.</x:v>
      </x:c>
      <x:c r="M141" s="136" t="str">
        <x:v>Verified/unverified across every surface</x:v>
      </x:c>
      <x:c r="N141" s="136" t="str">
        <x:v>Dealer settings, logo, manual verification/revocation, badges and inventory management are implemented.</x:v>
      </x:c>
      <x:c r="O141" s="136" t="str">
        <x:v>Retain in final regression and comprehensive browser QA.</x:v>
      </x:c>
    </x:row>
    <x:row r="142">
      <x:c r="A142" s="135" t="str">
        <x:v>JW-138</x:v>
      </x:c>
      <x:c r="B142" s="135" t="str">
        <x:v>Dealer Features</x:v>
      </x:c>
      <x:c r="C142" s="135" t="str">
        <x:v>Inventory management</x:v>
      </x:c>
      <x:c r="D142" s="136" t="str">
        <x:v>Dealer uses listing CRUD for cars, bikes and parts</x:v>
      </x:c>
      <x:c r="E142" s="136" t="str">
        <x:v>Signed V1</x:v>
      </x:c>
      <x:c r="F142" s="136" t="str">
        <x:v>Completed</x:v>
      </x:c>
      <x:c r="G142" s="137" t="n">
        <x:v>1</x:v>
      </x:c>
      <x:c r="H142" s="136" t="str">
        <x:v>Critical</x:v>
      </x:c>
      <x:c r="I142" s="136" t="str">
        <x:v>Stage 4</x:v>
      </x:c>
      <x:c r="J142" s="136" t="str">
        <x:v>Unassigned</x:v>
      </x:c>
      <x:c r="K142" s="136" t="str">
        <x:v>All listing CRUD</x:v>
      </x:c>
      <x:c r="L142" s="136" t="str">
        <x:v>Dealer can create/edit/delete/mark sold for every permitted vertical.</x:v>
      </x:c>
      <x:c r="M142" s="136" t="str">
        <x:v>Ownership; verticals; storefront reflection</x:v>
      </x:c>
      <x:c r="N142" s="136" t="str">
        <x:v>Dealer settings, logo, manual verification/revocation, badges and inventory management are implemented.</x:v>
      </x:c>
      <x:c r="O142" s="136" t="str">
        <x:v>Retain in final regression and comprehensive browser QA.</x:v>
      </x:c>
    </x:row>
    <x:row r="143">
      <x:c r="A143" s="135" t="str">
        <x:v>JW-139</x:v>
      </x:c>
      <x:c r="B143" s="135" t="str">
        <x:v>Assistance Services</x:v>
      </x:c>
      <x:c r="C143" s="135" t="str">
        <x:v>Vehicle inspection request form</x:v>
      </x:c>
      <x:c r="D143" s="136" t="str">
        <x:v>Signed-in user submits city, address, phone and optional listing reference</x:v>
      </x:c>
      <x:c r="E143" s="136" t="str">
        <x:v>Signed V1</x:v>
      </x:c>
      <x:c r="F143" s="136" t="str">
        <x:v>Completed</x:v>
      </x:c>
      <x:c r="G143" s="137" t="n">
        <x:v>1</x:v>
      </x:c>
      <x:c r="H143" s="136" t="str">
        <x:v>High</x:v>
      </x:c>
      <x:c r="I143" s="136" t="str">
        <x:v>Stage 5</x:v>
      </x:c>
      <x:c r="J143" s="136" t="str">
        <x:v>Unassigned</x:v>
      </x:c>
      <x:c r="K143" s="136" t="str">
        <x:v>Authentication and cities</x:v>
      </x:c>
      <x:c r="L143" s="136" t="str">
        <x:v>Valid request receives unique reference and persists for manual follow-up.</x:v>
      </x:c>
      <x:c r="M143" s="136" t="str">
        <x:v>Auth redirect; validation; phone normalization; listing/no listing</x:v>
      </x:c>
      <x:c r="N143" s="136" t="str">
        <x:v>Standalone and linked inspection requests, customer updates and append-only events pass desktop/mobile browser and isolated DB acceptance. A daily per-account/source request limit now blocks excess submissions without a row.</x:v>
      </x:c>
      <x:c r="O143" s="136" t="str">
        <x:v>Invalid lifecycle transitions and final live browser acceptance remain open.</x:v>
      </x:c>
    </x:row>
    <x:row r="144">
      <x:c r="A144" s="135" t="str">
        <x:v>JW-140</x:v>
      </x:c>
      <x:c r="B144" s="135" t="str">
        <x:v>Assistance Services</x:v>
      </x:c>
      <x:c r="C144" s="135" t="str">
        <x:v>Inspection request status</x:v>
      </x:c>
      <x:c r="D144" s="136" t="str">
        <x:v>Requested, contacted and cancelled lifecycle</x:v>
      </x:c>
      <x:c r="E144" s="136" t="str">
        <x:v>Signed V1</x:v>
      </x:c>
      <x:c r="F144" s="136" t="str">
        <x:v>Completed</x:v>
      </x:c>
      <x:c r="G144" s="137" t="n">
        <x:v>1</x:v>
      </x:c>
      <x:c r="H144" s="136" t="str">
        <x:v>Medium</x:v>
      </x:c>
      <x:c r="I144" s="136" t="str">
        <x:v>Stage 5</x:v>
      </x:c>
      <x:c r="J144" s="136" t="str">
        <x:v>Unassigned</x:v>
      </x:c>
      <x:c r="K144" s="136" t="str">
        <x:v>Admin inspection management</x:v>
      </x:c>
      <x:c r="L144" s="136" t="str">
        <x:v>Staff can update status with timestamps/notes and requester can see approved status visibility.</x:v>
      </x:c>
      <x:c r="M144" s="136" t="str">
        <x:v>Valid/invalid transitions; admin auth</x:v>
      </x:c>
      <x:c r="N144" s="136" t="str">
        <x:v>Desktop/mobile Chromium and isolated PostgreSQL confirm standalone and car-linked requests, preserved listing reference across sign-in, forged/unavailable reference rejection, initial append-only event and customer-visible admin updates without private notes.</x:v>
      </x:c>
      <x:c r="O144" s="136" t="str">
        <x:v>Invalid lifecycle transitions and final live browser acceptance remain open.</x:v>
      </x:c>
    </x:row>
    <x:row r="145">
      <x:c r="A145" s="135" t="str">
        <x:v>JW-141</x:v>
      </x:c>
      <x:c r="B145" s="135" t="str">
        <x:v>Assistance Services</x:v>
      </x:c>
      <x:c r="C145" s="135" t="str">
        <x:v>Inspection administration</x:v>
      </x:c>
      <x:c r="D145" s="136" t="str">
        <x:v>View, search, contact and update incoming requests</x:v>
      </x:c>
      <x:c r="E145" s="136" t="str">
        <x:v>Signed V1</x:v>
      </x:c>
      <x:c r="F145" s="136" t="str">
        <x:v>Completed</x:v>
      </x:c>
      <x:c r="G145" s="137" t="n">
        <x:v>1</x:v>
      </x:c>
      <x:c r="H145" s="136" t="str">
        <x:v>High</x:v>
      </x:c>
      <x:c r="I145" s="136" t="str">
        <x:v>Stage 5</x:v>
      </x:c>
      <x:c r="J145" s="136" t="str">
        <x:v>Unassigned</x:v>
      </x:c>
      <x:c r="K145" s="136" t="str">
        <x:v>Admin area</x:v>
      </x:c>
      <x:c r="L145" s="136" t="str">
        <x:v>Authorized staff can manage requests without inspector workforce/scheduling features.</x:v>
      </x:c>
      <x:c r="M145" s="136" t="str">
        <x:v>Admin/non-admin; filtering; status changes</x:v>
      </x:c>
      <x:c r="N145" s="136" t="str">
        <x:v>Structured Sell My Car Assistance request, linked listing and customer-visible follow-up pass desktop/mobile browser and isolated DB acceptance. A daily per-account/source limit now blocks excess submissions without a row.</x:v>
      </x:c>
      <x:c r="O145" s="136" t="str">
        <x:v>Invalid lifecycle transitions and final live browser acceptance remain open.</x:v>
      </x:c>
    </x:row>
    <x:row r="146">
      <x:c r="A146" s="135" t="str">
        <x:v>JW-142</x:v>
      </x:c>
      <x:c r="B146" s="135" t="str">
        <x:v>Assistance Services</x:v>
      </x:c>
      <x:c r="C146" s="135" t="str">
        <x:v>Sell My Car request</x:v>
      </x:c>
      <x:c r="D146" s="136" t="str">
        <x:v>Collect seller/vehicle/contact details for manual assistance</x:v>
      </x:c>
      <x:c r="E146" s="136" t="str">
        <x:v>Signed V1</x:v>
      </x:c>
      <x:c r="F146" s="136" t="str">
        <x:v>Completed</x:v>
      </x:c>
      <x:c r="G146" s="137" t="n">
        <x:v>1</x:v>
      </x:c>
      <x:c r="H146" s="136" t="str">
        <x:v>High</x:v>
      </x:c>
      <x:c r="I146" s="136" t="str">
        <x:v>Stage 5</x:v>
      </x:c>
      <x:c r="J146" s="136" t="str">
        <x:v>Unassigned</x:v>
      </x:c>
      <x:c r="K146" s="136" t="str">
        <x:v>New request schema and route</x:v>
      </x:c>
      <x:c r="L146" s="136" t="str">
        <x:v>User can submit and receive a reference; no unsupported transaction promise.</x:v>
      </x:c>
      <x:c r="M146" s="136" t="str">
        <x:v>Validation; auth/guest decision; duplicate; privacy</x:v>
      </x:c>
      <x:c r="N146" s="136" t="str">
        <x:v>Implemented and verified in desktop/mobile Chromium with isolated PostgreSQL: structured seller request and initial event persist; admin contact update appends a customer message and private note; customer sees the message but never the private note.</x:v>
      </x:c>
      <x:c r="O146" s="136" t="str">
        <x:v>Negative authorization/validation cases and final live browser acceptance remain open.</x:v>
      </x:c>
    </x:row>
    <x:row r="147">
      <x:c r="A147" s="135" t="str">
        <x:v>JW-143</x:v>
      </x:c>
      <x:c r="B147" s="135" t="str">
        <x:v>Assistance Services</x:v>
      </x:c>
      <x:c r="C147" s="135" t="str">
        <x:v>Sell My Car administration</x:v>
      </x:c>
      <x:c r="D147" s="136" t="str">
        <x:v>Admin reviews and updates assistance requests</x:v>
      </x:c>
      <x:c r="E147" s="136" t="str">
        <x:v>Signed V1</x:v>
      </x:c>
      <x:c r="F147" s="136" t="str">
        <x:v>Completed</x:v>
      </x:c>
      <x:c r="G147" s="137" t="n">
        <x:v>1</x:v>
      </x:c>
      <x:c r="H147" s="136" t="str">
        <x:v>High</x:v>
      </x:c>
      <x:c r="I147" s="136" t="str">
        <x:v>Stage 5</x:v>
      </x:c>
      <x:c r="J147" s="136" t="str">
        <x:v>Unassigned</x:v>
      </x:c>
      <x:c r="K147" s="136" t="str">
        <x:v>Sell My Car request</x:v>
      </x:c>
      <x:c r="L147" s="136" t="str">
        <x:v>Authorized staff can manage request status and internal follow-up notes.</x:v>
      </x:c>
      <x:c r="M147" s="136" t="str">
        <x:v>Authorization; status changes; filtering</x:v>
      </x:c>
      <x:c r="N147" s="136" t="str">
        <x:v>Implemented and verified in desktop/mobile Chromium with isolated PostgreSQL: structured seller request and initial event persist; admin contact update appends a customer message and private note; customer sees the message but never the private note.</x:v>
      </x:c>
      <x:c r="O147" s="136" t="str">
        <x:v>Negative authorization/validation cases and final live browser acceptance remain open.</x:v>
      </x:c>
    </x:row>
    <x:row r="148">
      <x:c r="A148" s="135" t="str">
        <x:v>JW-144</x:v>
      </x:c>
      <x:c r="B148" s="135" t="str">
        <x:v>Trust &amp; Moderation</x:v>
      </x:c>
      <x:c r="C148" s="135" t="str">
        <x:v>Report listing</x:v>
      </x:c>
      <x:c r="D148" s="136" t="str">
        <x:v>Authenticated or anonymous visitor reports an ad with reason/comment</x:v>
      </x:c>
      <x:c r="E148" s="136" t="str">
        <x:v>Signed V1</x:v>
      </x:c>
      <x:c r="F148" s="136" t="str">
        <x:v>Completed</x:v>
      </x:c>
      <x:c r="G148" s="137" t="n">
        <x:v>1</x:v>
      </x:c>
      <x:c r="H148" s="136" t="str">
        <x:v>Critical</x:v>
      </x:c>
      <x:c r="I148" s="136" t="str">
        <x:v>Stage 4</x:v>
      </x:c>
      <x:c r="J148" s="136" t="str">
        <x:v>Unassigned</x:v>
      </x:c>
      <x:c r="K148" s="136" t="str">
        <x:v>Listing detail</x:v>
      </x:c>
      <x:c r="L148" s="136" t="str">
        <x:v>Valid report persists; one person cannot repeatedly report the same listing.</x:v>
      </x:c>
      <x:c r="M148" s="136" t="str">
        <x:v>Anonymous/auth; duplicate; invalid listing; all reasons</x:v>
      </x:c>
      <x:c r="N148" s="136" t="str">
        <x:v>Anonymous and signed-in reporting verified in desktop/mobile Chromium. Account-bound duplicate submissions remain one report across sessions; anonymous cookie duplicate also remains one. Invalid or unavailable listing submissions are rejected.</x:v>
      </x:c>
      <x:c r="O148" s="136" t="str">
        <x:v>Add invalid reason/direct-request browser cases and final live acceptance.</x:v>
      </x:c>
    </x:row>
    <x:row r="149">
      <x:c r="A149" s="135" t="str">
        <x:v>JW-145</x:v>
      </x:c>
      <x:c r="B149" s="135" t="str">
        <x:v>Trust &amp; Moderation</x:v>
      </x:c>
      <x:c r="C149" s="135" t="str">
        <x:v>Report abuse protection</x:v>
      </x:c>
      <x:c r="D149" s="136" t="str">
        <x:v>One report per user/anonymous ID and high auto-hide threshold</x:v>
      </x:c>
      <x:c r="E149" s="136" t="str">
        <x:v>Signed V1</x:v>
      </x:c>
      <x:c r="F149" s="136" t="str">
        <x:v>Completed</x:v>
      </x:c>
      <x:c r="G149" s="137" t="n">
        <x:v>1</x:v>
      </x:c>
      <x:c r="H149" s="136" t="str">
        <x:v>Critical</x:v>
      </x:c>
      <x:c r="I149" s="136" t="str">
        <x:v>Stage 4</x:v>
      </x:c>
      <x:c r="J149" s="136" t="str">
        <x:v>Unassigned</x:v>
      </x:c>
      <x:c r="K149" s="136" t="str">
        <x:v>Anonymous cookie</x:v>
      </x:c>
      <x:c r="L149" s="136" t="str">
        <x:v>Competitors cannot quickly remove an ad with duplicate reports.</x:v>
      </x:c>
      <x:c r="M149" s="136" t="str">
        <x:v>Cookie reuse/reset; concurrent reports; threshold</x:v>
      </x:c>
      <x:c r="N149" s="136" t="str">
        <x:v>One report per anonymous cookie/user is enforced by unique indexes; same-cookie duplicate browser test persists only one report. Desktop/mobile Chromium simultaneously submitted fifth/sixth reports after four open reports: exactly five stayed open, one new queue event was written and the ad was held.</x:v>
      </x:c>
      <x:c r="O149" s="136" t="str">
        <x:v>Review distributed anonymous abuse/rate limiting and final live acceptance.</x:v>
      </x:c>
    </x:row>
    <x:row r="150">
      <x:c r="A150" s="135" t="str">
        <x:v>JW-146</x:v>
      </x:c>
      <x:c r="B150" s="135" t="str">
        <x:v>Trust &amp; Moderation</x:v>
      </x:c>
      <x:c r="C150" s="135" t="str">
        <x:v>Automatic report response</x:v>
      </x:c>
      <x:c r="D150" s="136" t="str">
        <x:v>Move listing to review after five open reports</x:v>
      </x:c>
      <x:c r="E150" s="136" t="str">
        <x:v>Signed V1</x:v>
      </x:c>
      <x:c r="F150" s="136" t="str">
        <x:v>Completed</x:v>
      </x:c>
      <x:c r="G150" s="137" t="n">
        <x:v>1</x:v>
      </x:c>
      <x:c r="H150" s="136" t="str">
        <x:v>High</x:v>
      </x:c>
      <x:c r="I150" s="136" t="str">
        <x:v>Stage 4</x:v>
      </x:c>
      <x:c r="J150" s="136" t="str">
        <x:v>Unassigned</x:v>
      </x:c>
      <x:c r="K150" s="136" t="str">
        <x:v>Status model</x:v>
      </x:c>
      <x:c r="L150" s="136" t="str">
        <x:v>Auto-action follows approved Flagged behavior, is logged and avoids false removal.</x:v>
      </x:c>
      <x:c r="M150" s="136" t="str">
        <x:v>Threshold 4/5/6; concurrent reports; sold reason</x:v>
      </x:c>
      <x:c r="N150" s="136" t="str">
        <x:v>Five open reports trigger one audited pending-review safety hold; first four leave the ad public. Reporter receives a confirmation page, and admin approval restores the ad and dismisses reports. Verified desktop/mobile Chromium with isolated PostgreSQL.</x:v>
      </x:c>
      <x:c r="O150" s="136" t="str">
        <x:v>Final live acceptance remains open.</x:v>
      </x:c>
    </x:row>
    <x:row r="151">
      <x:c r="A151" s="135" t="str">
        <x:v>JW-147</x:v>
      </x:c>
      <x:c r="B151" s="135" t="str">
        <x:v>Trust &amp; Moderation</x:v>
      </x:c>
      <x:c r="C151" s="135" t="str">
        <x:v>Moderation queue</x:v>
      </x:c>
      <x:c r="D151" s="136" t="str">
        <x:v>Admin views pending and reported listings</x:v>
      </x:c>
      <x:c r="E151" s="136" t="str">
        <x:v>Signed V1</x:v>
      </x:c>
      <x:c r="F151" s="136" t="str">
        <x:v>Completed</x:v>
      </x:c>
      <x:c r="G151" s="137" t="n">
        <x:v>1</x:v>
      </x:c>
      <x:c r="H151" s="136" t="str">
        <x:v>High</x:v>
      </x:c>
      <x:c r="I151" s="136" t="str">
        <x:v>Stage 4</x:v>
      </x:c>
      <x:c r="J151" s="136" t="str">
        <x:v>Unassigned</x:v>
      </x:c>
      <x:c r="K151" s="136" t="str">
        <x:v>Admin authorization</x:v>
      </x:c>
      <x:c r="L151" s="136" t="str">
        <x:v>Queue displays correct records, report counts and links.</x:v>
      </x:c>
      <x:c r="M151" s="136" t="str">
        <x:v>Empty/populated; limits; non-admin</x:v>
      </x:c>
      <x:c r="N151" s="136" t="str">
        <x:v>Basic moderation page exists.</x:v>
      </x:c>
      <x:c r="O151" s="136" t="str">
        <x:v>Remove routine pre-approval queue after instant-publish correction; retain flagged/reported queue.</x:v>
      </x:c>
    </x:row>
    <x:row r="152">
      <x:c r="A152" s="135" t="str">
        <x:v>JW-148</x:v>
      </x:c>
      <x:c r="B152" s="135" t="str">
        <x:v>Trust &amp; Moderation</x:v>
      </x:c>
      <x:c r="C152" s="135" t="str">
        <x:v>Approve/dismiss</x:v>
      </x:c>
      <x:c r="D152" s="136" t="str">
        <x:v>Admin restores/keeps listing active and dismisses open reports</x:v>
      </x:c>
      <x:c r="E152" s="136" t="str">
        <x:v>Signed V1</x:v>
      </x:c>
      <x:c r="F152" s="136" t="str">
        <x:v>Completed</x:v>
      </x:c>
      <x:c r="G152" s="137" t="n">
        <x:v>1</x:v>
      </x:c>
      <x:c r="H152" s="136" t="str">
        <x:v>High</x:v>
      </x:c>
      <x:c r="I152" s="136" t="str">
        <x:v>Stage 4</x:v>
      </x:c>
      <x:c r="J152" s="136" t="str">
        <x:v>Unassigned</x:v>
      </x:c>
      <x:c r="K152" s="136" t="str">
        <x:v>Moderation queue</x:v>
      </x:c>
      <x:c r="L152" s="136" t="str">
        <x:v>Action updates listing/report statuses and logs the decision atomically.</x:v>
      </x:c>
      <x:c r="M152" s="136" t="str">
        <x:v>Approve reported/pending; repeated; non-admin</x:v>
      </x:c>
      <x:c r="N152" s="136" t="str">
        <x:v>Implemented.</x:v>
      </x:c>
      <x:c r="O152" s="136" t="str">
        <x:v>Rename behavior to match post-publication moderation.</x:v>
      </x:c>
    </x:row>
    <x:row r="153">
      <x:c r="A153" s="135" t="str">
        <x:v>JW-149</x:v>
      </x:c>
      <x:c r="B153" s="135" t="str">
        <x:v>Trust &amp; Moderation</x:v>
      </x:c>
      <x:c r="C153" s="135" t="str">
        <x:v>Remove listing</x:v>
      </x:c>
      <x:c r="D153" s="136" t="str">
        <x:v>Admin removes listing with recorded reason</x:v>
      </x:c>
      <x:c r="E153" s="136" t="str">
        <x:v>Signed V1</x:v>
      </x:c>
      <x:c r="F153" s="136" t="str">
        <x:v>Completed</x:v>
      </x:c>
      <x:c r="G153" s="137" t="n">
        <x:v>1</x:v>
      </x:c>
      <x:c r="H153" s="136" t="str">
        <x:v>Critical</x:v>
      </x:c>
      <x:c r="I153" s="136" t="str">
        <x:v>Stage 4</x:v>
      </x:c>
      <x:c r="J153" s="136" t="str">
        <x:v>Unassigned</x:v>
      </x:c>
      <x:c r="K153" s="136" t="str">
        <x:v>Moderation queue</x:v>
      </x:c>
      <x:c r="L153" s="136" t="str">
        <x:v>Listing stops search/contact; reports are actioned; audit entry persists.</x:v>
      </x:c>
      <x:c r="M153" s="136" t="str">
        <x:v>Reason; repeated; direct URL; SEO</x:v>
      </x:c>
      <x:c r="N153" s="136" t="str">
        <x:v>Admin controls implemented. Desktop/mobile browser tests confirm reasoned hide, reinstate and permanent removal with public visibility changes and audit entries; ban revokes sessions, restore permits login and both decisions append audit history.</x:v>
      </x:c>
      <x:c r="O153" s="136" t="str">
        <x:v>Report resolution, direct-action authorization and final live acceptance remain open.</x:v>
      </x:c>
    </x:row>
    <x:row r="154">
      <x:c r="A154" s="135" t="str">
        <x:v>JW-150</x:v>
      </x:c>
      <x:c r="B154" s="135" t="str">
        <x:v>Trust &amp; Moderation</x:v>
      </x:c>
      <x:c r="C154" s="135" t="str">
        <x:v>Edit listing as admin</x:v>
      </x:c>
      <x:c r="D154" s="136" t="str">
        <x:v>Correct misleading content while preserving audit history</x:v>
      </x:c>
      <x:c r="E154" s="136" t="str">
        <x:v>Signed V1</x:v>
      </x:c>
      <x:c r="F154" s="136" t="str">
        <x:v>Completed</x:v>
      </x:c>
      <x:c r="G154" s="137" t="n">
        <x:v>1</x:v>
      </x:c>
      <x:c r="H154" s="136" t="str">
        <x:v>Medium</x:v>
      </x:c>
      <x:c r="I154" s="136" t="str">
        <x:v>Stage 4</x:v>
      </x:c>
      <x:c r="J154" s="136" t="str">
        <x:v>Unassigned</x:v>
      </x:c>
      <x:c r="K154" s="136" t="str">
        <x:v>Listing edit system</x:v>
      </x:c>
      <x:c r="L154" s="136" t="str">
        <x:v>Admin edits are permission-checked and appended to moderation log.</x:v>
      </x:c>
      <x:c r="M154" s="136" t="str">
        <x:v>Admin/non-admin; field validation; audit</x:v>
      </x:c>
      <x:c r="N154" s="136" t="str">
        <x:v>Admin listing edits/status transitions, audit history and user ban/unban controls are implemented.</x:v>
      </x:c>
      <x:c r="O154" s="136" t="str">
        <x:v>Retain in final regression and comprehensive browser QA.</x:v>
      </x:c>
    </x:row>
    <x:row r="155">
      <x:c r="A155" s="135" t="str">
        <x:v>JW-151</x:v>
      </x:c>
      <x:c r="B155" s="135" t="str">
        <x:v>Trust &amp; Moderation</x:v>
      </x:c>
      <x:c r="C155" s="135" t="str">
        <x:v>Flag/unpublish/reinstate</x:v>
      </x:c>
      <x:c r="D155" s="136" t="str">
        <x:v>Explicit post-publication controls without deletion</x:v>
      </x:c>
      <x:c r="E155" s="136" t="str">
        <x:v>Signed V1</x:v>
      </x:c>
      <x:c r="F155" s="136" t="str">
        <x:v>Completed</x:v>
      </x:c>
      <x:c r="G155" s="137" t="n">
        <x:v>1</x:v>
      </x:c>
      <x:c r="H155" s="136" t="str">
        <x:v>High</x:v>
      </x:c>
      <x:c r="I155" s="136" t="str">
        <x:v>Stage 4</x:v>
      </x:c>
      <x:c r="J155" s="136" t="str">
        <x:v>Unassigned</x:v>
      </x:c>
      <x:c r="K155" s="136" t="str">
        <x:v>Status lifecycle</x:v>
      </x:c>
      <x:c r="L155" s="136" t="str">
        <x:v>Admin can temporarily unpublish/flag and reinstate with reasons and audit trail.</x:v>
      </x:c>
      <x:c r="M155" s="136" t="str">
        <x:v>Transition matrix; search/detail; concurrent actions</x:v>
      </x:c>
      <x:c r="N155" s="136" t="str">
        <x:v>Admin controls implemented. Desktop/mobile browser tests confirm reasoned hide, reinstate and permanent removal with public visibility changes and audit entries; ban revokes sessions, restore permits login and both decisions append audit history.</x:v>
      </x:c>
      <x:c r="O155" s="136" t="str">
        <x:v>Report resolution, direct-action authorization and final live acceptance remain open.</x:v>
      </x:c>
    </x:row>
    <x:row r="156">
      <x:c r="A156" s="135" t="str">
        <x:v>JW-152</x:v>
      </x:c>
      <x:c r="B156" s="135" t="str">
        <x:v>Trust &amp; Moderation</x:v>
      </x:c>
      <x:c r="C156" s="135" t="str">
        <x:v>User management</x:v>
      </x:c>
      <x:c r="D156" s="136" t="str">
        <x:v>Search/view users and account state</x:v>
      </x:c>
      <x:c r="E156" s="136" t="str">
        <x:v>Signed V1</x:v>
      </x:c>
      <x:c r="F156" s="136" t="str">
        <x:v>Completed</x:v>
      </x:c>
      <x:c r="G156" s="137" t="n">
        <x:v>1</x:v>
      </x:c>
      <x:c r="H156" s="136" t="str">
        <x:v>High</x:v>
      </x:c>
      <x:c r="I156" s="136" t="str">
        <x:v>Stage 4</x:v>
      </x:c>
      <x:c r="J156" s="136" t="str">
        <x:v>Unassigned</x:v>
      </x:c>
      <x:c r="K156" s="136" t="str">
        <x:v>Admin area</x:v>
      </x:c>
      <x:c r="L156" s="136" t="str">
        <x:v>Authorized admin can inspect necessary account data without exposing secrets.</x:v>
      </x:c>
      <x:c r="M156" s="136" t="str">
        <x:v>Admin/non-admin; search; privacy</x:v>
      </x:c>
      <x:c r="N156" s="136" t="str">
        <x:v>Admin listing edits/status transitions, audit history and user ban/unban controls are implemented.</x:v>
      </x:c>
      <x:c r="O156" s="136" t="str">
        <x:v>Retain in final regression and comprehensive browser QA.</x:v>
      </x:c>
    </x:row>
    <x:row r="157">
      <x:c r="A157" s="135" t="str">
        <x:v>JW-153</x:v>
      </x:c>
      <x:c r="B157" s="135" t="str">
        <x:v>Trust &amp; Moderation</x:v>
      </x:c>
      <x:c r="C157" s="135" t="str">
        <x:v>Ban/unban users</x:v>
      </x:c>
      <x:c r="D157" s="136" t="str">
        <x:v>Suspend abusive sellers and prevent new/active access</x:v>
      </x:c>
      <x:c r="E157" s="136" t="str">
        <x:v>Signed V1</x:v>
      </x:c>
      <x:c r="F157" s="136" t="str">
        <x:v>Completed</x:v>
      </x:c>
      <x:c r="G157" s="137" t="n">
        <x:v>1</x:v>
      </x:c>
      <x:c r="H157" s="136" t="str">
        <x:v>Critical</x:v>
      </x:c>
      <x:c r="I157" s="136" t="str">
        <x:v>Stage 4</x:v>
      </x:c>
      <x:c r="J157" s="136" t="str">
        <x:v>Unassigned</x:v>
      </x:c>
      <x:c r="K157" s="136" t="str">
        <x:v>User management</x:v>
      </x:c>
      <x:c r="L157" s="136" t="str">
        <x:v>Admin action is logged and affected listings follow approved policy.</x:v>
      </x:c>
      <x:c r="M157" s="136" t="str">
        <x:v>Ban/unban; active session; listings; audit</x:v>
      </x:c>
      <x:c r="N157" s="136" t="str">
        <x:v>8 Oct risk #10: manual bans preserve inventory but hide public ads/media/contact and alert matches. Existing session revocation/audit rules retained. Unban cannot revive removed ads.</x:v>
      </x:c>
      <x:c r="O157" s="136" t="str">
        <x:v>Report resolution, direct-action authorization and final live acceptance remain open.</x:v>
      </x:c>
    </x:row>
    <x:row r="158">
      <x:c r="A158" s="135" t="str">
        <x:v>JW-154</x:v>
      </x:c>
      <x:c r="B158" s="135" t="str">
        <x:v>Trust &amp; Moderation</x:v>
      </x:c>
      <x:c r="C158" s="135" t="str">
        <x:v>Moderation audit history</x:v>
      </x:c>
      <x:c r="D158" s="136" t="str">
        <x:v>Append-only record of automated and human actions</x:v>
      </x:c>
      <x:c r="E158" s="136" t="str">
        <x:v>Signed V1</x:v>
      </x:c>
      <x:c r="F158" s="136" t="str">
        <x:v>Completed</x:v>
      </x:c>
      <x:c r="G158" s="137" t="n">
        <x:v>1</x:v>
      </x:c>
      <x:c r="H158" s="136" t="str">
        <x:v>High</x:v>
      </x:c>
      <x:c r="I158" s="136" t="str">
        <x:v>Stage 4</x:v>
      </x:c>
      <x:c r="J158" s="136" t="str">
        <x:v>Unassigned</x:v>
      </x:c>
      <x:c r="K158" s="136" t="str">
        <x:v>Admin actions</x:v>
      </x:c>
      <x:c r="L158" s="136" t="str">
        <x:v>Every moderation/verification/user action has actor, target, reason and timestamp.</x:v>
      </x:c>
      <x:c r="M158" s="136" t="str">
        <x:v>All action types; tamper/foreign keys</x:v>
      </x:c>
      <x:c r="N158" s="136" t="str">
        <x:v>Admin controls implemented. Desktop/mobile browser tests confirm reasoned hide, reinstate and permanent removal with public visibility changes and audit entries; ban revokes sessions, restore permits login and both decisions append audit history.</x:v>
      </x:c>
      <x:c r="O158" s="136" t="str">
        <x:v>Report resolution, direct-action authorization and final live acceptance remain open.</x:v>
      </x:c>
    </x:row>
    <x:row r="159">
      <x:c r="A159" s="135" t="str">
        <x:v>JW-155</x:v>
      </x:c>
      <x:c r="B159" s="135" t="str">
        <x:v>Trust &amp; Moderation</x:v>
      </x:c>
      <x:c r="C159" s="135" t="str">
        <x:v>Admin dashboard overview</x:v>
      </x:c>
      <x:c r="D159" s="136" t="str">
        <x:v>Operational counts for reports, users, listings, dealers and assistance requests</x:v>
      </x:c>
      <x:c r="E159" s="136" t="str">
        <x:v>Signed V1</x:v>
      </x:c>
      <x:c r="F159" s="136" t="str">
        <x:v>Completed</x:v>
      </x:c>
      <x:c r="G159" s="137" t="n">
        <x:v>1</x:v>
      </x:c>
      <x:c r="H159" s="136" t="str">
        <x:v>Medium</x:v>
      </x:c>
      <x:c r="I159" s="136" t="str">
        <x:v>Stage 4</x:v>
      </x:c>
      <x:c r="J159" s="136" t="str">
        <x:v>Unassigned</x:v>
      </x:c>
      <x:c r="K159" s="136" t="str">
        <x:v>Admin modules</x:v>
      </x:c>
      <x:c r="L159" s="136" t="str">
        <x:v>Dashboard shows genuine current counts and routes to work queues.</x:v>
      </x:c>
      <x:c r="M159" s="136" t="str">
        <x:v>Count accuracy; empty; performance</x:v>
      </x:c>
      <x:c r="N159" s="136" t="str">
        <x:v>Admin listing edits/status transitions, audit history and user ban/unban controls are implemented.</x:v>
      </x:c>
      <x:c r="O159" s="136" t="str">
        <x:v>Retain in final regression and comprehensive browser QA.</x:v>
      </x:c>
    </x:row>
    <x:row r="160">
      <x:c r="A160" s="135" t="str">
        <x:v>JW-156</x:v>
      </x:c>
      <x:c r="B160" s="135" t="str">
        <x:v>SEO</x:v>
      </x:c>
      <x:c r="C160" s="135" t="str">
        <x:v>Canonical facet registry</x:v>
      </x:c>
      <x:c r="D160" s="136" t="str">
        <x:v>Closed, deterministic filter URL model</x:v>
      </x:c>
      <x:c r="E160" s="136" t="str">
        <x:v>Signed V1</x:v>
      </x:c>
      <x:c r="F160" s="136" t="str">
        <x:v>Completed</x:v>
      </x:c>
      <x:c r="G160" s="137" t="n">
        <x:v>1</x:v>
      </x:c>
      <x:c r="H160" s="136" t="str">
        <x:v>Critical</x:v>
      </x:c>
      <x:c r="I160" s="136" t="str">
        <x:v>Stage 6</x:v>
      </x:c>
      <x:c r="J160" s="136" t="str">
        <x:v>Unassigned</x:v>
      </x:c>
      <x:c r="K160" s="136" t="str">
        <x:v>Taxonomy</x:v>
      </x:c>
      <x:c r="L160" s="136" t="str">
        <x:v>Equivalent result sets resolve to one canonical URL and unknown segments 404.</x:v>
      </x:c>
      <x:c r="M160" s="136" t="str">
        <x:v>37 policy assertions; reorder redirects; collisions</x:v>
      </x:c>
      <x:c r="N160" s="136" t="str">
        <x:v>Facet registry and resolver are implemented.</x:v>
      </x:c>
      <x:c r="O160" s="136" t="str">
        <x:v>Maintain tests for every new facet.</x:v>
      </x:c>
    </x:row>
    <x:row r="161">
      <x:c r="A161" s="135" t="str">
        <x:v>JW-157</x:v>
      </x:c>
      <x:c r="B161" s="135" t="str">
        <x:v>SEO</x:v>
      </x:c>
      <x:c r="C161" s="135" t="str">
        <x:v>Indexation whitelist</x:v>
      </x:c>
      <x:c r="D161" s="136" t="str">
        <x:v>Index valuable facets and noindex thin/range/sorted variants</x:v>
      </x:c>
      <x:c r="E161" s="136" t="str">
        <x:v>Signed V1</x:v>
      </x:c>
      <x:c r="F161" s="136" t="str">
        <x:v>Completed</x:v>
      </x:c>
      <x:c r="G161" s="137" t="n">
        <x:v>1</x:v>
      </x:c>
      <x:c r="H161" s="136" t="str">
        <x:v>Critical</x:v>
      </x:c>
      <x:c r="I161" s="136" t="str">
        <x:v>Stage 6</x:v>
      </x:c>
      <x:c r="J161" s="136" t="str">
        <x:v>Unassigned</x:v>
      </x:c>
      <x:c r="K161" s="136" t="str">
        <x:v>Facet state</x:v>
      </x:c>
      <x:c r="L161" s="136" t="str">
        <x:v>Robots and canonical decisions match policy for all combinations.</x:v>
      </x:c>
      <x:c r="M161" s="136" t="str">
        <x:v>Pure policy tests; rendered metadata</x:v>
      </x:c>
      <x:c r="N161" s="136" t="str">
        <x:v>37 SEO assertions currently pass.</x:v>
      </x:c>
      <x:c r="O161" s="136" t="str">
        <x:v>Add tests when route behavior changes.</x:v>
      </x:c>
    </x:row>
    <x:row r="162">
      <x:c r="A162" s="135" t="str">
        <x:v>JW-158</x:v>
      </x:c>
      <x:c r="B162" s="135" t="str">
        <x:v>SEO</x:v>
      </x:c>
      <x:c r="C162" s="135" t="str">
        <x:v>Dynamic metadata</x:v>
      </x:c>
      <x:c r="D162" s="136" t="str">
        <x:v>Distinct titles, descriptions, canonicals and Open Graph data</x:v>
      </x:c>
      <x:c r="E162" s="136" t="str">
        <x:v>Signed V1</x:v>
      </x:c>
      <x:c r="F162" s="136" t="str">
        <x:v>Completed</x:v>
      </x:c>
      <x:c r="G162" s="137" t="n">
        <x:v>1</x:v>
      </x:c>
      <x:c r="H162" s="136" t="str">
        <x:v>High</x:v>
      </x:c>
      <x:c r="I162" s="136" t="str">
        <x:v>Stage 6</x:v>
      </x:c>
      <x:c r="J162" s="136" t="str">
        <x:v>Unassigned</x:v>
      </x:c>
      <x:c r="K162" s="136" t="str">
        <x:v>Routes/detail data</x:v>
      </x:c>
      <x:c r="L162" s="136" t="str">
        <x:v>Every public page has accurate unique metadata and non-live listings are noindex.</x:v>
      </x:c>
      <x:c r="M162" s="136" t="str">
        <x:v>Sample every route shape; missing images</x:v>
      </x:c>
      <x:c r="N162" s="136" t="str">
        <x:v>Implemented.</x:v>
      </x:c>
      <x:c r="O162" s="136" t="str">
        <x:v>Run production crawl audit.</x:v>
      </x:c>
    </x:row>
    <x:row r="163">
      <x:c r="A163" s="135" t="str">
        <x:v>JW-159</x:v>
      </x:c>
      <x:c r="B163" s="135" t="str">
        <x:v>SEO</x:v>
      </x:c>
      <x:c r="C163" s="135" t="str">
        <x:v>Structured data</x:v>
      </x:c>
      <x:c r="D163" s="136" t="str">
        <x:v>Organization, Website, Vehicle, Breadcrumb and ItemList JSON-LD</x:v>
      </x:c>
      <x:c r="E163" s="136" t="str">
        <x:v>Signed V1</x:v>
      </x:c>
      <x:c r="F163" s="136" t="str">
        <x:v>Partially Implemented</x:v>
      </x:c>
      <x:c r="G163" s="137" t="n">
        <x:v>0.9</x:v>
      </x:c>
      <x:c r="H163" s="136" t="str">
        <x:v>High</x:v>
      </x:c>
      <x:c r="I163" s="136" t="str">
        <x:v>Stage 6</x:v>
      </x:c>
      <x:c r="J163" s="136" t="str">
        <x:v>Unassigned</x:v>
      </x:c>
      <x:c r="K163" s="136" t="str">
        <x:v>Public URLs/media</x:v>
      </x:c>
      <x:c r="L163" s="136" t="str">
        <x:v>Schema validates and uses correct canonical logo/search/listing/image URLs.</x:v>
      </x:c>
      <x:c r="M163" s="136" t="str">
        <x:v>Schema.org validator; all verticals; production origin</x:v>
      </x:c>
      <x:c r="N163" s="136" t="str">
        <x:v>Car/bike Vehicle and auto-parts Product JSON-LD now render from visible listing data. Parts include PKR Offer price, condition, optional brand/category and city without checkout or shipping claims. Shared JSON-LD serialization escapes seller-controlled text so it cannot close the script element. Five new SEO assertions and desktop/mobile parts-detail browser checks pass.</x:v>
      </x:c>
      <x:c r="O163" s="136" t="str">
        <x:v>Run Google/schema.org rich-result validation against the selected public staging and production origins, including real media URLs.</x:v>
      </x:c>
    </x:row>
    <x:row r="164">
      <x:c r="A164" s="135" t="str">
        <x:v>JW-160</x:v>
      </x:c>
      <x:c r="B164" s="135" t="str">
        <x:v>SEO</x:v>
      </x:c>
      <x:c r="C164" s="135" t="str">
        <x:v>Sitemap</x:v>
      </x:c>
      <x:c r="D164" s="136" t="str">
        <x:v>Dynamic live listings, dealers and sufficiently populated facet pages</x:v>
      </x:c>
      <x:c r="E164" s="136" t="str">
        <x:v>Signed V1</x:v>
      </x:c>
      <x:c r="F164" s="136" t="str">
        <x:v>Completed</x:v>
      </x:c>
      <x:c r="G164" s="137" t="n">
        <x:v>1</x:v>
      </x:c>
      <x:c r="H164" s="136" t="str">
        <x:v>High</x:v>
      </x:c>
      <x:c r="I164" s="136" t="str">
        <x:v>Stage 6</x:v>
      </x:c>
      <x:c r="J164" s="136" t="str">
        <x:v>Unassigned</x:v>
      </x:c>
      <x:c r="K164" s="136" t="str">
        <x:v>Live DB</x:v>
      </x:c>
      <x:c r="L164" s="136" t="str">
        <x:v>Sitemap contains only canonical indexable URLs and stays under limits.</x:v>
      </x:c>
      <x:c r="M164" s="136" t="str">
        <x:v>Empty/populated DB; 50k boundary; URL origin</x:v>
      </x:c>
      <x:c r="N164" s="136" t="str">
        <x:v>Dynamic sitemap is implemented.</x:v>
      </x:c>
      <x:c r="O164" s="136" t="str">
        <x:v>Load-test generation and plan sharding before 50k URLs.</x:v>
      </x:c>
    </x:row>
    <x:row r="165">
      <x:c r="A165" s="135" t="str">
        <x:v>JW-161</x:v>
      </x:c>
      <x:c r="B165" s="135" t="str">
        <x:v>SEO</x:v>
      </x:c>
      <x:c r="C165" s="135" t="str">
        <x:v>Sitemap build resilience</x:v>
      </x:c>
      <x:c r="D165" s="136" t="str">
        <x:v>Build/deploy does not fail when build-time database is unavailable</x:v>
      </x:c>
      <x:c r="E165" s="136" t="str">
        <x:v>Signed V1</x:v>
      </x:c>
      <x:c r="F165" s="136" t="str">
        <x:v>Partially Implemented</x:v>
      </x:c>
      <x:c r="G165" s="137" t="n">
        <x:v>0.9</x:v>
      </x:c>
      <x:c r="H165" s="136" t="str">
        <x:v>Medium</x:v>
      </x:c>
      <x:c r="I165" s="136" t="str">
        <x:v>Stage 6</x:v>
      </x:c>
      <x:c r="J165" s="136" t="str">
        <x:v>Unassigned</x:v>
      </x:c>
      <x:c r="K165" s="136" t="str">
        <x:v>Deployment environment</x:v>
      </x:c>
      <x:c r="L165" s="136" t="str">
        <x:v>Production build strategy reliably supplies DB or isolates runtime generation.</x:v>
      </x:c>
      <x:c r="M165" s="136" t="str">
        <x:v>Build with/without DB; deployment preview</x:v>
      </x:c>
      <x:c r="N165" s="136" t="str">
        <x:v>docs/DEPLOYMENT.md now explicitly requires a reachable migrated isolated CI or staging/build database; clean migrations, seeds and production build pass. Demo seeds are forbidden against production. Sitemap remains dynamic.</x:v>
      </x:c>
      <x:c r="O165" s="136" t="str">
        <x:v>Configure the selected build/staging database and verify deployment-network access and sitemap origin.</x:v>
      </x:c>
    </x:row>
    <x:row r="166">
      <x:c r="A166" s="135" t="str">
        <x:v>JW-162</x:v>
      </x:c>
      <x:c r="B166" s="135" t="str">
        <x:v>SEO</x:v>
      </x:c>
      <x:c r="C166" s="135" t="str">
        <x:v>Robots policy</x:v>
      </x:c>
      <x:c r="D166" s="136" t="str">
        <x:v>Block non-production indexing and disallow private/utility routes</x:v>
      </x:c>
      <x:c r="E166" s="136" t="str">
        <x:v>Signed V1</x:v>
      </x:c>
      <x:c r="F166" s="136" t="str">
        <x:v>Completed</x:v>
      </x:c>
      <x:c r="G166" s="137" t="n">
        <x:v>1</x:v>
      </x:c>
      <x:c r="H166" s="136" t="str">
        <x:v>Critical</x:v>
      </x:c>
      <x:c r="I166" s="136" t="str">
        <x:v>Stage 6</x:v>
      </x:c>
      <x:c r="J166" s="136" t="str">
        <x:v>Unassigned</x:v>
      </x:c>
      <x:c r="K166" s="136" t="str">
        <x:v>Correct environment flags</x:v>
      </x:c>
      <x:c r="L166" s="136" t="str">
        <x:v>Staging is fully disallowed; production exposes public routes and sitemap.</x:v>
      </x:c>
      <x:c r="M166" s="136" t="str">
        <x:v>Staging/production env render; robots fetch</x:v>
      </x:c>
      <x:c r="N166" s="136" t="str">
        <x:v>Robots policy now gives VERCEL_ENV precedence over NODE_ENV, so preview/development builds remain blocked even when built with NODE_ENV=production. Five environment-policy assertions pass; local 97-route sweep found 0 issues.</x:v>
      </x:c>
      <x:c r="O166" s="136" t="str">
        <x:v>Verify robots.txt and canonical host on the selected production and staging deployments.</x:v>
      </x:c>
    </x:row>
    <x:row r="167">
      <x:c r="A167" s="135" t="str">
        <x:v>JW-163</x:v>
      </x:c>
      <x:c r="B167" s="135" t="str">
        <x:v>SEO</x:v>
      </x:c>
      <x:c r="C167" s="135" t="str">
        <x:v>Breadcrumbs and internal links</x:v>
      </x:c>
      <x:c r="D167" s="136" t="str">
        <x:v>Crawlable navigation across home, facets, details and dealers</x:v>
      </x:c>
      <x:c r="E167" s="136" t="str">
        <x:v>Signed V1</x:v>
      </x:c>
      <x:c r="F167" s="136" t="str">
        <x:v>Completed</x:v>
      </x:c>
      <x:c r="G167" s="137" t="n">
        <x:v>1</x:v>
      </x:c>
      <x:c r="H167" s="136" t="str">
        <x:v>Medium</x:v>
      </x:c>
      <x:c r="I167" s="136" t="str">
        <x:v>Stage 6</x:v>
      </x:c>
      <x:c r="J167" s="136" t="str">
        <x:v>Unassigned</x:v>
      </x:c>
      <x:c r="K167" s="136" t="str">
        <x:v>Canonical paths</x:v>
      </x:c>
      <x:c r="L167" s="136" t="str">
        <x:v>Links use canonical routes and do not create duplicate facet orderings.</x:v>
      </x:c>
      <x:c r="M167" s="136" t="str">
        <x:v>Crawl; link checker; breadcrumbs schema</x:v>
      </x:c>
      <x:c r="N167" s="136" t="str">
        <x:v>Implemented.</x:v>
      </x:c>
      <x:c r="O167" s="136" t="str">
        <x:v>Repeat route sweep after every navigation change.</x:v>
      </x:c>
    </x:row>
    <x:row r="168">
      <x:c r="A168" s="135" t="str">
        <x:v>JW-164</x:v>
      </x:c>
      <x:c r="B168" s="135" t="str">
        <x:v>SEO</x:v>
      </x:c>
      <x:c r="C168" s="135" t="str">
        <x:v>Expired/sold page policy</x:v>
      </x:c>
      <x:c r="D168" s="136" t="str">
        <x:v>Noindex non-live pages and preserve appropriate user experience</x:v>
      </x:c>
      <x:c r="E168" s="136" t="str">
        <x:v>Signed V1</x:v>
      </x:c>
      <x:c r="F168" s="136" t="str">
        <x:v>Partially Implemented</x:v>
      </x:c>
      <x:c r="G168" s="137" t="n">
        <x:v>0.95</x:v>
      </x:c>
      <x:c r="H168" s="136" t="str">
        <x:v>High</x:v>
      </x:c>
      <x:c r="I168" s="136" t="str">
        <x:v>Stage 6</x:v>
      </x:c>
      <x:c r="J168" s="136" t="str">
        <x:v>QA</x:v>
      </x:c>
      <x:c r="K168" s="136" t="str">
        <x:v>Status lifecycle</x:v>
      </x:c>
      <x:c r="L168" s="136" t="str">
        <x:v>Sold pages follow approved retention policy; private/removed pages are not publicly exposed.</x:v>
      </x:c>
      <x:c r="M168" s="136" t="str">
        <x:v>All statuses; canonical; sitemap/search exclusion</x:v>
      </x:c>
      <x:c r="N168" s="136" t="str">
        <x:v>Desktop/mobile seller acceptance checks sold ad anonymous detail 404, exclusion from recent search and sitemap, seller deletion preserving approved private photos, owner photo denial/admin positive control, and stale sold action unable to resurrect removed ad.</x:v>
      </x:c>
      <x:c r="O168" s="136" t="str">
        <x:v>Verify expiry/sold/deleted lifecycle and live provider visibility on staging with configured scheduling.</x:v>
      </x:c>
    </x:row>
    <x:row r="169">
      <x:c r="A169" s="135" t="str">
        <x:v>JW-165</x:v>
      </x:c>
      <x:c r="B169" s="135" t="str">
        <x:v>Security &amp; Privacy</x:v>
      </x:c>
      <x:c r="C169" s="135" t="str">
        <x:v>Security headers</x:v>
      </x:c>
      <x:c r="D169" s="136" t="str">
        <x:v>CSP, HSTS, nosniff, frame, referrer and permissions policies</x:v>
      </x:c>
      <x:c r="E169" s="136" t="str">
        <x:v>Signed V1</x:v>
      </x:c>
      <x:c r="F169" s="136" t="str">
        <x:v>Completed</x:v>
      </x:c>
      <x:c r="G169" s="137" t="n">
        <x:v>1</x:v>
      </x:c>
      <x:c r="H169" s="136" t="str">
        <x:v>Critical</x:v>
      </x:c>
      <x:c r="I169" s="136" t="str">
        <x:v>Stage 6</x:v>
      </x:c>
      <x:c r="J169" s="136" t="str">
        <x:v>Unassigned</x:v>
      </x:c>
      <x:c r="K169" s="136" t="str">
        <x:v>HTTPS hosting</x:v>
      </x:c>
      <x:c r="L169" s="136" t="str">
        <x:v>Headers are present and do not break production hydration/media/analytics.</x:v>
      </x:c>
      <x:c r="M169" s="136" t="str">
        <x:v>Header scan; CSP console; HTTPS</x:v>
      </x:c>
      <x:c r="N169" s="136" t="str">
        <x:v>Configured in next.config.ts.</x:v>
      </x:c>
      <x:c r="O169" s="136" t="str">
        <x:v>Validate on deployed staging; tighten CSP where possible.</x:v>
      </x:c>
    </x:row>
    <x:row r="170">
      <x:c r="A170" s="135" t="str">
        <x:v>JW-166</x:v>
      </x:c>
      <x:c r="B170" s="135" t="str">
        <x:v>Security &amp; Privacy</x:v>
      </x:c>
      <x:c r="C170" s="135" t="str">
        <x:v>Authorization coverage</x:v>
      </x:c>
      <x:c r="D170" s="136" t="str">
        <x:v>Ownership/admin checks on every write and private read</x:v>
      </x:c>
      <x:c r="E170" s="136" t="str">
        <x:v>Signed V1</x:v>
      </x:c>
      <x:c r="F170" s="136" t="str">
        <x:v>Partially Implemented</x:v>
      </x:c>
      <x:c r="G170" s="137" t="n">
        <x:v>0.98</x:v>
      </x:c>
      <x:c r="H170" s="136" t="str">
        <x:v>Critical</x:v>
      </x:c>
      <x:c r="I170" s="136" t="str">
        <x:v>Stage 1</x:v>
      </x:c>
      <x:c r="J170" s="136" t="str">
        <x:v>QA</x:v>
      </x:c>
      <x:c r="K170" s="136" t="str">
        <x:v>All CRUD actions</x:v>
      </x:c>
      <x:c r="L170" s="136" t="str">
        <x:v>Every mutation and private resource has explicit server-side authorization tests.</x:v>
      </x:c>
      <x:c r="M170" s="136" t="str">
        <x:v>IDOR; direct action calls; cross-user access</x:v>
      </x:c>
      <x:c r="N170" s="136" t="str">
        <x:v>Direct authorization and cross-user regressions pass in fresh local suite. New trusted-proxy IP parsing and anonymous-report source tests add tamper coverage; deployment proxy/storage assessment remains open.</x:v>
      </x:c>
      <x:c r="O170" s="136" t="str">
        <x:v>Independent candidate security review, then validate configured proxy and live private storage on HTTPS staging.</x:v>
      </x:c>
    </x:row>
    <x:row r="171">
      <x:c r="A171" s="135" t="str">
        <x:v>JW-167</x:v>
      </x:c>
      <x:c r="B171" s="135" t="str">
        <x:v>Security &amp; Privacy</x:v>
      </x:c>
      <x:c r="C171" s="135" t="str">
        <x:v>Input validation</x:v>
      </x:c>
      <x:c r="D171" s="136" t="str">
        <x:v>Server-side schemas and field-specific user messages</x:v>
      </x:c>
      <x:c r="E171" s="136" t="str">
        <x:v>Signed V1</x:v>
      </x:c>
      <x:c r="F171" s="136" t="str">
        <x:v>Partially Implemented</x:v>
      </x:c>
      <x:c r="G171" s="137" t="n">
        <x:v>0.99</x:v>
      </x:c>
      <x:c r="H171" s="136" t="str">
        <x:v>Critical</x:v>
      </x:c>
      <x:c r="I171" s="136" t="str">
        <x:v>Stage 1</x:v>
      </x:c>
      <x:c r="J171" s="136" t="str">
        <x:v>Unassigned</x:v>
      </x:c>
      <x:c r="K171" s="136" t="str">
        <x:v>All forms/actions</x:v>
      </x:c>
      <x:c r="L171" s="136" t="str">
        <x:v>Every external input is parsed, bounded and returns safe feedback.</x:v>
      </x:c>
      <x:c r="M171" s="136" t="str">
        <x:v>Tampered forms; oversized text; invalid IDs</x:v>
      </x:c>
      <x:c r="N171" s="136" t="str">
        <x:v>Fresh direct malformed registration email, forged report reason/listing ID/oversized comment, vehicle taxonomy and upload size/type/body-cap cases pass. Deployment integrations remain unverified.</x:v>
      </x:c>
      <x:c r="O171" s="136" t="str">
        <x:v>Keep negative regression in CI; verify live provider/configuration behavior before launch sign-off.</x:v>
      </x:c>
    </x:row>
    <x:row r="172">
      <x:c r="A172" s="135" t="str">
        <x:v>JW-168</x:v>
      </x:c>
      <x:c r="B172" s="135" t="str">
        <x:v>Security &amp; Privacy</x:v>
      </x:c>
      <x:c r="C172" s="135" t="str">
        <x:v>Rate limiting</x:v>
      </x:c>
      <x:c r="D172" s="136" t="str">
        <x:v>Protect uploads, reports, contact reveals, inspection and listing submission</x:v>
      </x:c>
      <x:c r="E172" s="136" t="str">
        <x:v>Signed V1</x:v>
      </x:c>
      <x:c r="F172" s="136" t="str">
        <x:v>Partially Implemented</x:v>
      </x:c>
      <x:c r="G172" s="137" t="n">
        <x:v>0.99</x:v>
      </x:c>
      <x:c r="H172" s="136" t="str">
        <x:v>Critical</x:v>
      </x:c>
      <x:c r="I172" s="136" t="str">
        <x:v>Stage 1</x:v>
      </x:c>
      <x:c r="J172" s="136" t="str">
        <x:v>Unassigned</x:v>
      </x:c>
      <x:c r="K172" s="136" t="str">
        <x:v>Rate-limit store and proxy configuration</x:v>
      </x:c>
      <x:c r="L172" s="136" t="str">
        <x:v>High-risk endpoints resist burst/distributed abuse with observable limits.</x:v>
      </x:c>
      <x:c r="M172" s="136" t="str">
        <x:v>Per-IP/user; proxy spoof; reset; fail-open/closed</x:v>
      </x:c>
      <x:c r="N172" s="136" t="str">
        <x:v>Local atomic quotas and source-header tests pass. Only a configured proxy-overwritten singleton IP is accepted; cookie clearing no longer changes anonymous report identity in proxy mode. Actual proxy thresholds and alerts unverified.</x:v>
      </x:c>
      <x:c r="O172" s="136" t="str">
        <x:v>On HTTPS staging, block direct Node access, overwrite the selected IP header and test forged headers, request limits and operational alerts.</x:v>
      </x:c>
    </x:row>
    <x:row r="173">
      <x:c r="A173" s="135" t="str">
        <x:v>JW-169</x:v>
      </x:c>
      <x:c r="B173" s="135" t="str">
        <x:v>Security &amp; Privacy</x:v>
      </x:c>
      <x:c r="C173" s="135" t="str">
        <x:v>Sensitive data handling</x:v>
      </x:c>
      <x:c r="D173" s="136" t="str">
        <x:v>Never commit .env, passwords, raw session tokens or production customer data</x:v>
      </x:c>
      <x:c r="E173" s="136" t="str">
        <x:v>Signed V1</x:v>
      </x:c>
      <x:c r="F173" s="136" t="str">
        <x:v>Completed</x:v>
      </x:c>
      <x:c r="G173" s="137" t="n">
        <x:v>1</x:v>
      </x:c>
      <x:c r="H173" s="136" t="str">
        <x:v>Critical</x:v>
      </x:c>
      <x:c r="I173" s="136" t="str">
        <x:v>Stage 0</x:v>
      </x:c>
      <x:c r="J173" s="136" t="str">
        <x:v>Unassigned</x:v>
      </x:c>
      <x:c r="K173" s="136" t="str">
        <x:v>Git workflow</x:v>
      </x:c>
      <x:c r="L173" s="136" t="str">
        <x:v>Secret scan is clean and logs/errors avoid sensitive values.</x:v>
      </x:c>
      <x:c r="M173" s="136" t="str">
        <x:v>Repository secret scan; logging review</x:v>
      </x:c>
      <x:c r="N173" s="136" t="str">
        <x:v>.env is ignored and repository guidance is explicit.</x:v>
      </x:c>
      <x:c r="O173" s="136" t="str">
        <x:v>Add automated secret scanning in CI.</x:v>
      </x:c>
    </x:row>
    <x:row r="174">
      <x:c r="A174" s="135" t="str">
        <x:v>JW-170</x:v>
      </x:c>
      <x:c r="B174" s="135" t="str">
        <x:v>Security &amp; Privacy</x:v>
      </x:c>
      <x:c r="C174" s="135" t="str">
        <x:v>Privacy policy and consent</x:v>
      </x:c>
      <x:c r="D174" s="136" t="str">
        <x:v>Disclose accounts, cookies, analytics, saved searches and contact handling</x:v>
      </x:c>
      <x:c r="E174" s="136" t="str">
        <x:v>Signed V1</x:v>
      </x:c>
      <x:c r="F174" s="136" t="str">
        <x:v>Partially Implemented</x:v>
      </x:c>
      <x:c r="G174" s="137" t="n">
        <x:v>0.9</x:v>
      </x:c>
      <x:c r="H174" s="136" t="str">
        <x:v>Critical</x:v>
      </x:c>
      <x:c r="I174" s="136" t="str">
        <x:v>Stage 6</x:v>
      </x:c>
      <x:c r="J174" s="136" t="str">
        <x:v>Unassigned</x:v>
      </x:c>
      <x:c r="K174" s="136" t="str">
        <x:v>Approved legal content</x:v>
      </x:c>
      <x:c r="L174" s="136" t="str">
        <x:v>Published policy accurately describes actual data processing and retention.</x:v>
      </x:c>
      <x:c r="M174" s="136" t="str">
        <x:v>Legal review; link availability; consent flows</x:v>
      </x:c>
      <x:c r="N174" s="136" t="str">
        <x:v>Published privacy policy now states client-approved account recovery, 12/24-month retention, 90-day activity and 30-day backup policy, necessary holds and no inactivity-only account deletion. Closure/recovery linked in account settings and locally accepted on desktop/mobile. Final live provider disclosures/consent acceptance remains.</x:v>
      </x:c>
      <x:c r="O174" s="136" t="str">
        <x:v>Validate actual provider disclosures, legal/consent requirements and production privacy operation before launch.</x:v>
      </x:c>
    </x:row>
    <x:row r="175">
      <x:c r="A175" s="135" t="str">
        <x:v>JW-171</x:v>
      </x:c>
      <x:c r="B175" s="135" t="str">
        <x:v>Security &amp; Privacy</x:v>
      </x:c>
      <x:c r="C175" s="135" t="str">
        <x:v>Data retention/deletion</x:v>
      </x:c>
      <x:c r="D175" s="136" t="str">
        <x:v>Define cleanup for sessions, reports, accounts, uploads and assistance requests</x:v>
      </x:c>
      <x:c r="E175" s="136" t="str">
        <x:v>Signed V1</x:v>
      </x:c>
      <x:c r="F175" s="136" t="str">
        <x:v>Partially Implemented</x:v>
      </x:c>
      <x:c r="G175" s="137" t="n">
        <x:v>0.95</x:v>
      </x:c>
      <x:c r="H175" s="136" t="str">
        <x:v>High</x:v>
      </x:c>
      <x:c r="I175" s="136" t="str">
        <x:v>Stage 6</x:v>
      </x:c>
      <x:c r="J175" s="136" t="str">
        <x:v>Product Owner / DevOps</x:v>
      </x:c>
      <x:c r="K175" s="136" t="str">
        <x:v>Privacy policy and operations</x:v>
      </x:c>
      <x:c r="L175" s="136" t="str">
        <x:v>Retention schedule and deletion workflows are documented and executable.</x:v>
      </x:c>
      <x:c r="M175" s="136" t="str">
        <x:v>Retention job; account deletion; backup implications</x:v>
      </x:c>
      <x:c r="N175" s="136" t="str">
        <x:v>Retention replay now exports and validates ledger times on the database clock; future-ledger regression and existing 22 DB acceptance pass. Live backups, protected ledger export and restore drill remain open.</x:v>
      </x:c>
      <x:c r="O175" s="136" t="str">
        <x:v>Independently review replay change; deployment owner must configure 30-day backups, independent ledger export and restore rehearsal.</x:v>
      </x:c>
    </x:row>
    <x:row r="176">
      <x:c r="A176" s="135" t="str">
        <x:v>JW-172</x:v>
      </x:c>
      <x:c r="B176" s="135" t="str">
        <x:v>Security &amp; Privacy</x:v>
      </x:c>
      <x:c r="C176" s="135" t="str">
        <x:v>Security review</x:v>
      </x:c>
      <x:c r="D176" s="136" t="str">
        <x:v>Pre-launch application and infrastructure assessment</x:v>
      </x:c>
      <x:c r="E176" s="136" t="str">
        <x:v>Signed V1</x:v>
      </x:c>
      <x:c r="F176" s="136" t="str">
        <x:v>Partially Implemented</x:v>
      </x:c>
      <x:c r="G176" s="137" t="n">
        <x:v>0.85</x:v>
      </x:c>
      <x:c r="H176" s="136" t="str">
        <x:v>Critical</x:v>
      </x:c>
      <x:c r="I176" s="136" t="str">
        <x:v>Stage 6</x:v>
      </x:c>
      <x:c r="J176" s="136" t="str">
        <x:v>QA</x:v>
      </x:c>
      <x:c r="K176" s="136" t="str">
        <x:v>Feature-complete staging</x:v>
      </x:c>
      <x:c r="L176" s="136" t="str">
        <x:v>No unresolved critical/high issue remains; remediation is regression-tested.</x:v>
      </x:c>
      <x:c r="M176" s="136" t="str">
        <x:v>OWASP review; dependency; auth; IDOR; upload; headers</x:v>
      </x:c>
      <x:c r="N176" s="136" t="str">
        <x:v>Local security pass covers ownership/origin/rate limits, bounded image uploads, trusted proxy IP parsing, cookie-clearing report abuse, retention clock and production dependency audit (zero). CSP inline-script allowance and deployed infrastructure require separate review.</x:v>
      </x:c>
      <x:c r="O176" s="136" t="str">
        <x:v>Independent candidate review; assess actual HTTPS proxy, Cloudflare private media, logging/secrets and provider paths on staging; close any high/critical finding.</x:v>
      </x:c>
    </x:row>
    <x:row r="177">
      <x:c r="A177" s="135" t="str">
        <x:v>JW-173</x:v>
      </x:c>
      <x:c r="B177" s="135" t="str">
        <x:v>Quality &amp; Performance</x:v>
      </x:c>
      <x:c r="C177" s="135" t="str">
        <x:v>TypeScript verification</x:v>
      </x:c>
      <x:c r="D177" s="136" t="str">
        <x:v>Strict compile check</x:v>
      </x:c>
      <x:c r="E177" s="136" t="str">
        <x:v>Technical Foundation</x:v>
      </x:c>
      <x:c r="F177" s="136" t="str">
        <x:v>Completed</x:v>
      </x:c>
      <x:c r="G177" s="137" t="n">
        <x:v>1</x:v>
      </x:c>
      <x:c r="H177" s="136" t="str">
        <x:v>High</x:v>
      </x:c>
      <x:c r="I177" s="136" t="str">
        <x:v>Stage 0</x:v>
      </x:c>
      <x:c r="J177" s="136" t="str">
        <x:v>Unassigned</x:v>
      </x:c>
      <x:c r="K177" s="136" t="str">
        <x:v>Codebase</x:v>
      </x:c>
      <x:c r="L177" s="136" t="str">
        <x:v>npm run typecheck returns zero errors.</x:v>
      </x:c>
      <x:c r="M177" s="136" t="str">
        <x:v>Run on every PR</x:v>
      </x:c>
      <x:c r="N177" s="136" t="str">
        <x:v>Passed on current homepage branch.</x:v>
      </x:c>
      <x:c r="O177" s="136" t="str">
        <x:v>Enforce in CI.</x:v>
      </x:c>
    </x:row>
    <x:row r="178">
      <x:c r="A178" s="135" t="str">
        <x:v>JW-174</x:v>
      </x:c>
      <x:c r="B178" s="135" t="str">
        <x:v>Quality &amp; Performance</x:v>
      </x:c>
      <x:c r="C178" s="135" t="str">
        <x:v>Lint verification</x:v>
      </x:c>
      <x:c r="D178" s="136" t="str">
        <x:v>ESLint/Next rules</x:v>
      </x:c>
      <x:c r="E178" s="136" t="str">
        <x:v>Technical Foundation</x:v>
      </x:c>
      <x:c r="F178" s="136" t="str">
        <x:v>Completed</x:v>
      </x:c>
      <x:c r="G178" s="137" t="n">
        <x:v>1</x:v>
      </x:c>
      <x:c r="H178" s="136" t="str">
        <x:v>High</x:v>
      </x:c>
      <x:c r="I178" s="136" t="str">
        <x:v>Stage 0</x:v>
      </x:c>
      <x:c r="J178" s="136" t="str">
        <x:v>Unassigned</x:v>
      </x:c>
      <x:c r="K178" s="136" t="str">
        <x:v>Codebase</x:v>
      </x:c>
      <x:c r="L178" s="136" t="str">
        <x:v>Lint returns zero warnings/errors.</x:v>
      </x:c>
      <x:c r="M178" s="136" t="str">
        <x:v>Run on every PR</x:v>
      </x:c>
      <x:c r="N178" s="136" t="str">
        <x:v>Passed on current homepage branch; command is deprecated for Next 16.</x:v>
      </x:c>
      <x:c r="O178" s="136" t="str">
        <x:v>Migrate to ESLint CLI before Next 16.</x:v>
      </x:c>
    </x:row>
    <x:row r="179">
      <x:c r="A179" s="135" t="str">
        <x:v>JW-175</x:v>
      </x:c>
      <x:c r="B179" s="135" t="str">
        <x:v>Quality &amp; Performance</x:v>
      </x:c>
      <x:c r="C179" s="135" t="str">
        <x:v>SEO test suite</x:v>
      </x:c>
      <x:c r="D179" s="136" t="str">
        <x:v>Pure assertions for URL, canonical and title logic</x:v>
      </x:c>
      <x:c r="E179" s="136" t="str">
        <x:v>Technical Foundation</x:v>
      </x:c>
      <x:c r="F179" s="136" t="str">
        <x:v>Completed</x:v>
      </x:c>
      <x:c r="G179" s="137" t="n">
        <x:v>1</x:v>
      </x:c>
      <x:c r="H179" s="136" t="str">
        <x:v>High</x:v>
      </x:c>
      <x:c r="I179" s="136" t="str">
        <x:v>Stage 6</x:v>
      </x:c>
      <x:c r="J179" s="136" t="str">
        <x:v>Unassigned</x:v>
      </x:c>
      <x:c r="K179" s="136" t="str">
        <x:v>SEO code</x:v>
      </x:c>
      <x:c r="L179" s="136" t="str">
        <x:v>All assertions pass and new policy cases have tests.</x:v>
      </x:c>
      <x:c r="M179" s="136" t="str">
        <x:v>npm run check:seo</x:v>
      </x:c>
      <x:c r="N179" s="136" t="str">
        <x:v>37/37 passed on current branch.</x:v>
      </x:c>
      <x:c r="O179" s="136" t="str">
        <x:v>Expand with any new facet.</x:v>
      </x:c>
    </x:row>
    <x:row r="180">
      <x:c r="A180" s="135" t="str">
        <x:v>JW-176</x:v>
      </x:c>
      <x:c r="B180" s="135" t="str">
        <x:v>Quality &amp; Performance</x:v>
      </x:c>
      <x:c r="C180" s="135" t="str">
        <x:v>Production build</x:v>
      </x:c>
      <x:c r="D180" s="136" t="str">
        <x:v>Optimized Next.js build</x:v>
      </x:c>
      <x:c r="E180" s="136" t="str">
        <x:v>Technical Foundation</x:v>
      </x:c>
      <x:c r="F180" s="136" t="str">
        <x:v>Completed</x:v>
      </x:c>
      <x:c r="G180" s="137" t="n">
        <x:v>1</x:v>
      </x:c>
      <x:c r="H180" s="136" t="str">
        <x:v>Critical</x:v>
      </x:c>
      <x:c r="I180" s="136" t="str">
        <x:v>Stage 6</x:v>
      </x:c>
      <x:c r="J180" s="136" t="str">
        <x:v>Unassigned</x:v>
      </x:c>
      <x:c r="K180" s="136" t="str">
        <x:v>Configured database</x:v>
      </x:c>
      <x:c r="L180" s="136" t="str">
        <x:v>Build succeeds from clean checkout with documented environment.</x:v>
      </x:c>
      <x:c r="M180" s="136" t="str">
        <x:v>Clean npm ci; build with staging DB</x:v>
      </x:c>
      <x:c r="N180" s="136" t="str">
        <x:v>Production build passed on 8 Sep 2026 using build:safe; maximum First Load JS was 128 kB.</x:v>
      </x:c>
      <x:c r="O180" s="136" t="str">
        <x:v>Repeat after Stage 6.1 and at the final launch gate.</x:v>
      </x:c>
    </x:row>
    <x:row r="181">
      <x:c r="A181" s="135" t="str">
        <x:v>JW-177</x:v>
      </x:c>
      <x:c r="B181" s="135" t="str">
        <x:v>Quality &amp; Performance</x:v>
      </x:c>
      <x:c r="C181" s="135" t="str">
        <x:v>Core functional E2E coverage</x:v>
      </x:c>
      <x:c r="D181" s="136" t="str">
        <x:v>Registration through contact, seller listing, dealer and moderation journeys</x:v>
      </x:c>
      <x:c r="E181" s="136" t="str">
        <x:v>Technical Foundation</x:v>
      </x:c>
      <x:c r="F181" s="136" t="str">
        <x:v>Partially Implemented</x:v>
      </x:c>
      <x:c r="G181" s="137" t="n">
        <x:v>0.99</x:v>
      </x:c>
      <x:c r="H181" s="136" t="str">
        <x:v>Critical</x:v>
      </x:c>
      <x:c r="I181" s="136" t="str">
        <x:v>Stage 6</x:v>
      </x:c>
      <x:c r="J181" s="136" t="str">
        <x:v>QA</x:v>
      </x:c>
      <x:c r="K181" s="136" t="str">
        <x:v>E2E framework</x:v>
      </x:c>
      <x:c r="L181" s="136" t="str">
        <x:v>Critical launch journeys run automatically and pass.</x:v>
      </x:c>
      <x:c r="M181" s="136" t="str">
        <x:v>Happy/negative/authz/mobile</x:v>
      </x:c>
      <x:c r="N181" s="136" t="str">
        <x:v>Fresh local acceptance: 22 DB, 101 URLs, 179 browser pass/1 planned skip; desktop/mobile Chromium, three local WebKit smokes including default-motion tap, and recovery. Candidate CI/review and live acceptance open.</x:v>
      </x:c>
      <x:c r="O181" s="136" t="str">
        <x:v>Obtain exact-head CI/review; complete deployed provider, device and staging E2E acceptance.</x:v>
      </x:c>
    </x:row>
    <x:row r="182">
      <x:c r="A182" s="135" t="str">
        <x:v>JW-178</x:v>
      </x:c>
      <x:c r="B182" s="135" t="str">
        <x:v>Quality &amp; Performance</x:v>
      </x:c>
      <x:c r="C182" s="135" t="str">
        <x:v>Mobile browser QA</x:v>
      </x:c>
      <x:c r="D182" s="136" t="str">
        <x:v>Chrome Android and Safari iPhone behavior</x:v>
      </x:c>
      <x:c r="E182" s="136" t="str">
        <x:v>Technical Foundation</x:v>
      </x:c>
      <x:c r="F182" s="136" t="str">
        <x:v>Partially Implemented</x:v>
      </x:c>
      <x:c r="G182" s="137" t="n">
        <x:v>0.7</x:v>
      </x:c>
      <x:c r="H182" s="136" t="str">
        <x:v>Critical</x:v>
      </x:c>
      <x:c r="I182" s="136" t="str">
        <x:v>Stage 6</x:v>
      </x:c>
      <x:c r="J182" s="136" t="str">
        <x:v>Unassigned</x:v>
      </x:c>
      <x:c r="K182" s="136" t="str">
        <x:v>Feature-complete staging</x:v>
      </x:c>
      <x:c r="L182" s="136" t="str">
        <x:v>Core journeys work at mobile widths without keyboard, viewport or upload defects.</x:v>
      </x:c>
      <x:c r="M182" s="136" t="str">
        <x:v>Real/simulated devices; slow network</x:v>
      </x:c>
      <x:c r="N182" s="136" t="str">
        <x:v>Local mobile Chromium core flows and three WebKit smokes pass, including default-motion tap/navigation and photo upload. WebKit uses local HTTP test cookie injection; actual iPhone/Android unverified.</x:v>
      </x:c>
      <x:c r="O182" s="136" t="str">
        <x:v>Run real iPhone Safari and Android Chrome on HTTPS staging with camera, keyboard, slow network and full journeys.</x:v>
      </x:c>
    </x:row>
    <x:row r="183">
      <x:c r="A183" s="135" t="str">
        <x:v>JW-179</x:v>
      </x:c>
      <x:c r="B183" s="135" t="str">
        <x:v>Quality &amp; Performance</x:v>
      </x:c>
      <x:c r="C183" s="135" t="str">
        <x:v>Accessibility audit</x:v>
      </x:c>
      <x:c r="D183" s="136" t="str">
        <x:v>WCAG-oriented automated and manual review</x:v>
      </x:c>
      <x:c r="E183" s="136" t="str">
        <x:v>Technical Foundation</x:v>
      </x:c>
      <x:c r="F183" s="136" t="str">
        <x:v>Partially Implemented</x:v>
      </x:c>
      <x:c r="G183" s="137" t="n">
        <x:v>0.95</x:v>
      </x:c>
      <x:c r="H183" s="136" t="str">
        <x:v>High</x:v>
      </x:c>
      <x:c r="I183" s="136" t="str">
        <x:v>Stage 6</x:v>
      </x:c>
      <x:c r="J183" s="136" t="str">
        <x:v>Unassigned</x:v>
      </x:c>
      <x:c r="K183" s="136" t="str">
        <x:v>Feature-complete UI</x:v>
      </x:c>
      <x:c r="L183" s="136" t="str">
        <x:v>No critical keyboard, label, focus, contrast or zoom failure remains.</x:v>
      </x:c>
      <x:c r="M183" s="136" t="str">
        <x:v>axe; keyboard; screen reader spot checks</x:v>
      </x:c>
      <x:c r="N183" s="136" t="str">
        <x:v>Existing 34-route axe coverage is supplemented by 200% text sizing at tablet width across six routes and reduced-motion checks. Header/footer overflow found and fixed; desktop/mobile projects pass.</x:v>
      </x:c>
      <x:c r="O183" s="136" t="str">
        <x:v>Manual screen-reader, real-device and browser zoom acceptance remain for launch.</x:v>
      </x:c>
    </x:row>
    <x:row r="184">
      <x:c r="A184" s="135" t="str">
        <x:v>JW-180</x:v>
      </x:c>
      <x:c r="B184" s="135" t="str">
        <x:v>Quality &amp; Performance</x:v>
      </x:c>
      <x:c r="C184" s="135" t="str">
        <x:v>Performance budget</x:v>
      </x:c>
      <x:c r="D184" s="136" t="str">
        <x:v>First Load JS under 150 KB and acceptable Core Web Vitals</x:v>
      </x:c>
      <x:c r="E184" s="136" t="str">
        <x:v>Technical Foundation</x:v>
      </x:c>
      <x:c r="F184" s="136" t="str">
        <x:v>Partially Implemented</x:v>
      </x:c>
      <x:c r="G184" s="137" t="n">
        <x:v>0.95</x:v>
      </x:c>
      <x:c r="H184" s="136" t="str">
        <x:v>High</x:v>
      </x:c>
      <x:c r="I184" s="136" t="str">
        <x:v>Stage 6</x:v>
      </x:c>
      <x:c r="J184" s="136" t="str">
        <x:v>QA</x:v>
      </x:c>
      <x:c r="K184" s="136" t="str">
        <x:v>Production-like media/data</x:v>
      </x:c>
      <x:c r="L184" s="136" t="str">
        <x:v>Public routes meet JS budget and agreed LCP/CLS/INP targets on mobile.</x:v>
      </x:c>
      <x:c r="M184" s="136" t="str">
        <x:v>Bundle report; Lighthouse; 4G profile</x:v>
      </x:c>
      <x:c r="N184" s="136" t="str">
        <x:v>Prehosting production build maximum First Load JS 128 KB (&lt;150 KB). Local 100-request concurrency-five read smoke: zero failures, p50 250 ms, p95 585 ms, max 811 ms. Real media/Web Vitals remain open.</x:v>
      </x:c>
      <x:c r="O184" s="136" t="str">
        <x:v>Measure representative media, mobile Web Vitals and production-like host capacity on staging.</x:v>
      </x:c>
    </x:row>
    <x:row r="185">
      <x:c r="A185" s="135" t="str">
        <x:v>JW-181</x:v>
      </x:c>
      <x:c r="B185" s="135" t="str">
        <x:v>Quality &amp; Performance</x:v>
      </x:c>
      <x:c r="C185" s="135" t="str">
        <x:v>Load testing</x:v>
      </x:c>
      <x:c r="D185" s="136" t="str">
        <x:v>20,000 listings and up to 500 concurrent users</x:v>
      </x:c>
      <x:c r="E185" s="136" t="str">
        <x:v>Technical Foundation</x:v>
      </x:c>
      <x:c r="F185" s="136" t="str">
        <x:v>Partially Implemented</x:v>
      </x:c>
      <x:c r="G185" s="137" t="n">
        <x:v>0.25</x:v>
      </x:c>
      <x:c r="H185" s="136" t="str">
        <x:v>Critical</x:v>
      </x:c>
      <x:c r="I185" s="136" t="str">
        <x:v>Stage 6</x:v>
      </x:c>
      <x:c r="J185" s="136" t="str">
        <x:v>Unassigned</x:v>
      </x:c>
      <x:c r="K185" s="136" t="str">
        <x:v>Production-like staging</x:v>
      </x:c>
      <x:c r="L185" s="136" t="str">
        <x:v>Search, details, login/contact and writes meet response/error thresholds without DB exhaustion.</x:v>
      </x:c>
      <x:c r="M185" s="136" t="str">
        <x:v>Ramp/soak/spike; query plans; pool limits</x:v>
      </x:c>
      <x:c r="N185" s="136" t="str">
        <x:v>Local 100-request concurrency-five smoke passed with zero failures. 20,000 synthetic listings plus demo inventory query-plan sample rolled back; optimized first-page car lookup 0.566 ms, offset-5000 20.535 ms. This is not 500-user capacity.</x:v>
      </x:c>
      <x:c r="O185" s="136" t="str">
        <x:v>Run monitored 500-user ramp/soak and write-path load on selected staging host with realistic data/media.</x:v>
      </x:c>
    </x:row>
    <x:row r="186">
      <x:c r="A186" s="135" t="str">
        <x:v>JW-182</x:v>
      </x:c>
      <x:c r="B186" s="135" t="str">
        <x:v>Quality &amp; Performance</x:v>
      </x:c>
      <x:c r="C186" s="135" t="str">
        <x:v>Regression checklist</x:v>
      </x:c>
      <x:c r="D186" s="136" t="str">
        <x:v>Repeatable manual acceptance checklist per module</x:v>
      </x:c>
      <x:c r="E186" s="136" t="str">
        <x:v>Technical Foundation</x:v>
      </x:c>
      <x:c r="F186" s="136" t="str">
        <x:v>Partially Implemented</x:v>
      </x:c>
      <x:c r="G186" s="137" t="n">
        <x:v>0.9</x:v>
      </x:c>
      <x:c r="H186" s="136" t="str">
        <x:v>High</x:v>
      </x:c>
      <x:c r="I186" s="136" t="str">
        <x:v>Stage 1</x:v>
      </x:c>
      <x:c r="J186" s="136" t="str">
        <x:v>Unassigned</x:v>
      </x:c>
      <x:c r="K186" s="136" t="str">
        <x:v>Tracker and test cases</x:v>
      </x:c>
      <x:c r="L186" s="136" t="str">
        <x:v>Every completed feature has signed test evidence before merge.</x:v>
      </x:c>
      <x:c r="M186" s="136" t="str">
        <x:v>Checklist review; defect retest</x:v>
      </x:c>
      <x:c r="N186" s="136" t="str">
        <x:v>Master matrix updated for fresh 179 browser/22 DB/101-route local evidence, security and performance checks; one planned browser skip. Candidate review and deployed sign-off remain open.</x:v>
      </x:c>
      <x:c r="O186" s="136" t="str">
        <x:v>Record exact-head CI/review and deployment/provider/device/load evidence against each open Test Matrix case.</x:v>
      </x:c>
    </x:row>
    <x:row r="187">
      <x:c r="A187" s="135" t="str">
        <x:v>JW-183</x:v>
      </x:c>
      <x:c r="B187" s="135" t="str">
        <x:v>Content &amp; Legal</x:v>
      </x:c>
      <x:c r="C187" s="135" t="str">
        <x:v>About JaniWheels</x:v>
      </x:c>
      <x:c r="D187" s="136" t="str">
        <x:v>Approved company/marketplace information page</x:v>
      </x:c>
      <x:c r="E187" s="136" t="str">
        <x:v>Signed V1</x:v>
      </x:c>
      <x:c r="F187" s="136" t="str">
        <x:v>Completed</x:v>
      </x:c>
      <x:c r="G187" s="137" t="n">
        <x:v>1</x:v>
      </x:c>
      <x:c r="H187" s="136" t="str">
        <x:v>Medium</x:v>
      </x:c>
      <x:c r="I187" s="136" t="str">
        <x:v>Stage 6</x:v>
      </x:c>
      <x:c r="J187" s="136" t="str">
        <x:v>Unassigned</x:v>
      </x:c>
      <x:c r="K187" s="136" t="str">
        <x:v>Approved copy</x:v>
      </x:c>
      <x:c r="L187" s="136" t="str">
        <x:v>Page is accurate, responsive, indexable and linked from footer.</x:v>
      </x:c>
      <x:c r="M187" s="136" t="str">
        <x:v>Content review; metadata; links</x:v>
      </x:c>
      <x:c r="N187" s="136" t="str">
        <x:v>Implemented on codex/legal-and-content: public page, canonical metadata, footer navigation and automated content checks pass. Full check, lint and production build pass; targeted local HTTP smoke returned 200. Comprehensive visual/responsive QA remains deferred.</x:v>
      </x:c>
      <x:c r="O187" s="136" t="str">
        <x:v>Retain in final content, legal, branding, accessibility and responsive acceptance review.</x:v>
      </x:c>
    </x:row>
    <x:row r="188">
      <x:c r="A188" s="135" t="str">
        <x:v>JW-184</x:v>
      </x:c>
      <x:c r="B188" s="135" t="str">
        <x:v>Content &amp; Legal</x:v>
      </x:c>
      <x:c r="C188" s="135" t="str">
        <x:v>Contact page</x:v>
      </x:c>
      <x:c r="D188" s="136" t="str">
        <x:v>Approved business contact channels and enquiry route</x:v>
      </x:c>
      <x:c r="E188" s="136" t="str">
        <x:v>Signed V1</x:v>
      </x:c>
      <x:c r="F188" s="136" t="str">
        <x:v>Completed</x:v>
      </x:c>
      <x:c r="G188" s="137" t="n">
        <x:v>1</x:v>
      </x:c>
      <x:c r="H188" s="136" t="str">
        <x:v>High</x:v>
      </x:c>
      <x:c r="I188" s="136" t="str">
        <x:v>Stage 6</x:v>
      </x:c>
      <x:c r="J188" s="136" t="str">
        <x:v>Unassigned</x:v>
      </x:c>
      <x:c r="K188" s="136" t="str">
        <x:v>Contact details/process</x:v>
      </x:c>
      <x:c r="L188" s="136" t="str">
        <x:v>Visitors can contact JaniWheels and submissions reach the responsible team.</x:v>
      </x:c>
      <x:c r="M188" s="136" t="str">
        <x:v>Validation; spam; delivery; privacy</x:v>
      </x:c>
      <x:c r="N188" s="136" t="str">
        <x:v>Implemented on codex/legal-and-content: public page, canonical metadata, footer navigation and automated content checks pass. Full check, lint and production build pass; targeted local HTTP smoke returned 200. Comprehensive visual/responsive QA remains deferred.</x:v>
      </x:c>
      <x:c r="O188" s="136" t="str">
        <x:v>Retain in final content, legal, branding, accessibility and responsive acceptance review.</x:v>
      </x:c>
    </x:row>
    <x:row r="189">
      <x:c r="A189" s="135" t="str">
        <x:v>JW-185</x:v>
      </x:c>
      <x:c r="B189" s="135" t="str">
        <x:v>Content &amp; Legal</x:v>
      </x:c>
      <x:c r="C189" s="135" t="str">
        <x:v>Terms and Conditions</x:v>
      </x:c>
      <x:c r="D189" s="136" t="str">
        <x:v>Marketplace usage, listings, moderation and liability terms</x:v>
      </x:c>
      <x:c r="E189" s="136" t="str">
        <x:v>Signed V1</x:v>
      </x:c>
      <x:c r="F189" s="136" t="str">
        <x:v>Completed</x:v>
      </x:c>
      <x:c r="G189" s="137" t="n">
        <x:v>1</x:v>
      </x:c>
      <x:c r="H189" s="136" t="str">
        <x:v>Critical</x:v>
      </x:c>
      <x:c r="I189" s="136" t="str">
        <x:v>Stage 6</x:v>
      </x:c>
      <x:c r="J189" s="136" t="str">
        <x:v>Unassigned</x:v>
      </x:c>
      <x:c r="K189" s="136" t="str">
        <x:v>Legal approval</x:v>
      </x:c>
      <x:c r="L189" s="136" t="str">
        <x:v>Approved terms are accessible, versioned and linked at account/listing touchpoints where needed.</x:v>
      </x:c>
      <x:c r="M189" s="136" t="str">
        <x:v>Link/metadata/version review</x:v>
      </x:c>
      <x:c r="N189" s="136" t="str">
        <x:v>Implemented on codex/legal-and-content: public page, canonical metadata, footer navigation and automated content checks pass. Full check, lint and production build pass; targeted local HTTP smoke returned 200. Comprehensive visual/responsive QA remains deferred.</x:v>
      </x:c>
      <x:c r="O189" s="136" t="str">
        <x:v>Retain in final content, legal, branding, accessibility and responsive acceptance review.</x:v>
      </x:c>
    </x:row>
    <x:row r="190">
      <x:c r="A190" s="135" t="str">
        <x:v>JW-186</x:v>
      </x:c>
      <x:c r="B190" s="135" t="str">
        <x:v>Content &amp; Legal</x:v>
      </x:c>
      <x:c r="C190" s="135" t="str">
        <x:v>Privacy Policy</x:v>
      </x:c>
      <x:c r="D190" s="136" t="str">
        <x:v>Data collection, cookies, contact and retention disclosures</x:v>
      </x:c>
      <x:c r="E190" s="136" t="str">
        <x:v>Signed V1</x:v>
      </x:c>
      <x:c r="F190" s="136" t="str">
        <x:v>Completed</x:v>
      </x:c>
      <x:c r="G190" s="137" t="n">
        <x:v>1</x:v>
      </x:c>
      <x:c r="H190" s="136" t="str">
        <x:v>Critical</x:v>
      </x:c>
      <x:c r="I190" s="136" t="str">
        <x:v>Stage 6</x:v>
      </x:c>
      <x:c r="J190" s="136" t="str">
        <x:v>Unassigned</x:v>
      </x:c>
      <x:c r="K190" s="136" t="str">
        <x:v>Legal/privacy review</x:v>
      </x:c>
      <x:c r="L190" s="136" t="str">
        <x:v>Approved policy matches implemented data flows and is linked globally.</x:v>
      </x:c>
      <x:c r="M190" s="136" t="str">
        <x:v>Data inventory reconciliation; link test</x:v>
      </x:c>
      <x:c r="N190" s="136" t="str">
        <x:v>Implemented on codex/legal-and-content: public page, canonical metadata, footer navigation and automated content checks pass. Full check, lint and production build pass; targeted local HTTP smoke returned 200. Comprehensive visual/responsive QA remains deferred.</x:v>
      </x:c>
      <x:c r="O190" s="136" t="str">
        <x:v>Retain in final content, legal, branding, accessibility and responsive acceptance review.</x:v>
      </x:c>
    </x:row>
    <x:row r="191">
      <x:c r="A191" s="135" t="str">
        <x:v>JW-187</x:v>
      </x:c>
      <x:c r="B191" s="135" t="str">
        <x:v>Content &amp; Legal</x:v>
      </x:c>
      <x:c r="C191" s="135" t="str">
        <x:v>Safety information</x:v>
      </x:c>
      <x:c r="D191" s="136" t="str">
        <x:v>Buyer/seller fraud-prevention guidance</x:v>
      </x:c>
      <x:c r="E191" s="136" t="str">
        <x:v>Signed V1</x:v>
      </x:c>
      <x:c r="F191" s="136" t="str">
        <x:v>Completed</x:v>
      </x:c>
      <x:c r="G191" s="137" t="n">
        <x:v>1</x:v>
      </x:c>
      <x:c r="H191" s="136" t="str">
        <x:v>High</x:v>
      </x:c>
      <x:c r="I191" s="136" t="str">
        <x:v>Stage 6</x:v>
      </x:c>
      <x:c r="J191" s="136" t="str">
        <x:v>Unassigned</x:v>
      </x:c>
      <x:c r="K191" s="136" t="str">
        <x:v>Approved safety content</x:v>
      </x:c>
      <x:c r="L191" s="136" t="str">
        <x:v>Dedicated accessible page provides accurate guidance and reporting route.</x:v>
      </x:c>
      <x:c r="M191" s="136" t="str">
        <x:v>Content accuracy; mobile; links</x:v>
      </x:c>
      <x:c r="N191" s="136" t="str">
        <x:v>Implemented on codex/legal-and-content: public page, canonical metadata, footer navigation and automated content checks pass. Full check, lint and production build pass; targeted local HTTP smoke returned 200. Comprehensive visual/responsive QA remains deferred.</x:v>
      </x:c>
      <x:c r="O191" s="136" t="str">
        <x:v>Retain in final content, legal, branding, accessibility and responsive acceptance review.</x:v>
      </x:c>
    </x:row>
    <x:row r="192">
      <x:c r="A192" s="135" t="str">
        <x:v>JW-188</x:v>
      </x:c>
      <x:c r="B192" s="135" t="str">
        <x:v>Content &amp; Legal</x:v>
      </x:c>
      <x:c r="C192" s="135" t="str">
        <x:v>Report a concern page</x:v>
      </x:c>
      <x:c r="D192" s="136" t="str">
        <x:v>General concern/contact path beyond a listing-specific report</x:v>
      </x:c>
      <x:c r="E192" s="136" t="str">
        <x:v>Signed V1</x:v>
      </x:c>
      <x:c r="F192" s="136" t="str">
        <x:v>Completed</x:v>
      </x:c>
      <x:c r="G192" s="137" t="n">
        <x:v>1</x:v>
      </x:c>
      <x:c r="H192" s="136" t="str">
        <x:v>Medium</x:v>
      </x:c>
      <x:c r="I192" s="136" t="str">
        <x:v>Stage 6</x:v>
      </x:c>
      <x:c r="J192" s="136" t="str">
        <x:v>Unassigned</x:v>
      </x:c>
      <x:c r="K192" s="136" t="str">
        <x:v>Contact/moderation workflow</x:v>
      </x:c>
      <x:c r="L192" s="136" t="str">
        <x:v>Concern reaches staff with classification and reference without exposing sensitive data.</x:v>
      </x:c>
      <x:c r="M192" s="136" t="str">
        <x:v>Validation; spam; delivery; status</x:v>
      </x:c>
      <x:c r="N192" s="136" t="str">
        <x:v>Implemented on codex/legal-and-content: public page, canonical metadata, footer navigation and automated content checks pass. Full check, lint and production build pass; targeted local HTTP smoke returned 200. Comprehensive visual/responsive QA remains deferred.</x:v>
      </x:c>
      <x:c r="O192" s="136" t="str">
        <x:v>Retain in final content, legal, branding, accessibility and responsive acceptance review.</x:v>
      </x:c>
    </x:row>
    <x:row r="193">
      <x:c r="A193" s="135" t="str">
        <x:v>JW-189</x:v>
      </x:c>
      <x:c r="B193" s="135" t="str">
        <x:v>Content &amp; Legal</x:v>
      </x:c>
      <x:c r="C193" s="135" t="str">
        <x:v>Social profile links</x:v>
      </x:c>
      <x:c r="D193" s="136" t="str">
        <x:v>Approved JaniWheels social media URLs</x:v>
      </x:c>
      <x:c r="E193" s="136" t="str">
        <x:v>Signed V1</x:v>
      </x:c>
      <x:c r="F193" s="136" t="str">
        <x:v>Completed</x:v>
      </x:c>
      <x:c r="G193" s="137" t="n">
        <x:v>1</x:v>
      </x:c>
      <x:c r="H193" s="136" t="str">
        <x:v>Low</x:v>
      </x:c>
      <x:c r="I193" s="136" t="str">
        <x:v>Stage 6</x:v>
      </x:c>
      <x:c r="J193" s="136" t="str">
        <x:v>Unassigned</x:v>
      </x:c>
      <x:c r="K193" s="136" t="str">
        <x:v>Official profile URLs</x:v>
      </x:c>
      <x:c r="L193" s="136" t="str">
        <x:v>Only official active profiles are linked and open safely.</x:v>
      </x:c>
      <x:c r="M193" s="136" t="str">
        <x:v>All links; icons; accessibility</x:v>
      </x:c>
      <x:c r="N193" s="136" t="str">
        <x:v>Implemented on codex/legal-and-content: public page, canonical metadata, footer navigation and automated content checks pass. Full check, lint and production build pass; targeted local HTTP smoke returned 200. Comprehensive visual/responsive QA remains deferred.</x:v>
      </x:c>
      <x:c r="O193" s="136" t="str">
        <x:v>Retain in final content, legal, branding, accessibility and responsive acceptance review.</x:v>
      </x:c>
    </x:row>
    <x:row r="194">
      <x:c r="A194" s="135" t="str">
        <x:v>JW-190</x:v>
      </x:c>
      <x:c r="B194" s="135" t="str">
        <x:v>Deployment &amp; Operations</x:v>
      </x:c>
      <x:c r="C194" s="135" t="str">
        <x:v>Production hosting</x:v>
      </x:c>
      <x:c r="D194" s="136" t="str">
        <x:v>Deploy Next.js application on approved infrastructure</x:v>
      </x:c>
      <x:c r="E194" s="136" t="str">
        <x:v>Technical Foundation</x:v>
      </x:c>
      <x:c r="F194" s="136" t="str">
        <x:v>Pending</x:v>
      </x:c>
      <x:c r="G194" s="137" t="n">
        <x:v>0</x:v>
      </x:c>
      <x:c r="H194" s="136" t="str">
        <x:v>Critical</x:v>
      </x:c>
      <x:c r="I194" s="136" t="str">
        <x:v>Stage 6</x:v>
      </x:c>
      <x:c r="J194" s="136" t="str">
        <x:v>Unassigned</x:v>
      </x:c>
      <x:c r="K194" s="136" t="str">
        <x:v>Hosting decision</x:v>
      </x:c>
      <x:c r="L194" s="136" t="str">
        <x:v>HTTPS application serves all routes with correct environment and scaling.</x:v>
      </x:c>
      <x:c r="M194" s="136" t="str">
        <x:v>Deployment smoke; restart; rollback</x:v>
      </x:c>
      <x:c r="N194" s="136" t="str">
        <x:v>Deployment assigned to an external team by the owner on 8 Oct 2026. docs/DEPLOYMENT_HANDOFF.md provides the reviewed-source, runtime, environment, migration, provider, DNS and acceptance package. No production deployment is documented as complete.</x:v>
      </x:c>
      <x:c r="O194" s="136" t="str">
        <x:v>External team: provision hosting and deploy reviewed main SHA; return URL, commit, smoke, rollback and monitoring evidence.</x:v>
      </x:c>
    </x:row>
    <x:row r="195">
      <x:c r="A195" s="135" t="str">
        <x:v>JW-191</x:v>
      </x:c>
      <x:c r="B195" s="135" t="str">
        <x:v>Deployment &amp; Operations</x:v>
      </x:c>
      <x:c r="C195" s="135" t="str">
        <x:v>Production PostgreSQL</x:v>
      </x:c>
      <x:c r="D195" s="136" t="str">
        <x:v>Managed/secured database with pooling and migration process</x:v>
      </x:c>
      <x:c r="E195" s="136" t="str">
        <x:v>Technical Foundation</x:v>
      </x:c>
      <x:c r="F195" s="136" t="str">
        <x:v>Pending</x:v>
      </x:c>
      <x:c r="G195" s="137" t="n">
        <x:v>0</x:v>
      </x:c>
      <x:c r="H195" s="136" t="str">
        <x:v>Critical</x:v>
      </x:c>
      <x:c r="I195" s="136" t="str">
        <x:v>Stage 6</x:v>
      </x:c>
      <x:c r="J195" s="136" t="str">
        <x:v>Unassigned</x:v>
      </x:c>
      <x:c r="K195" s="136" t="str">
        <x:v>Database provider</x:v>
      </x:c>
      <x:c r="L195" s="136" t="str">
        <x:v>Backups, access controls, pooling and migration runbook are operational.</x:v>
      </x:c>
      <x:c r="M195" s="136" t="str">
        <x:v>Connection limits; migration; restore; failover</x:v>
      </x:c>
      <x:c r="N195" s="136" t="str">
        <x:v>Local PostgreSQL is working; production DB not configured.</x:v>
      </x:c>
      <x:c r="O195" s="136" t="str">
        <x:v>Provision staging then production database.</x:v>
      </x:c>
    </x:row>
    <x:row r="196">
      <x:c r="A196" s="135" t="str">
        <x:v>JW-192</x:v>
      </x:c>
      <x:c r="B196" s="135" t="str">
        <x:v>Deployment &amp; Operations</x:v>
      </x:c>
      <x:c r="C196" s="135" t="str">
        <x:v>Production image storage</x:v>
      </x:c>
      <x:c r="D196" s="136" t="str">
        <x:v>Durable CDN-backed media provider</x:v>
      </x:c>
      <x:c r="E196" s="136" t="str">
        <x:v>Technical Foundation</x:v>
      </x:c>
      <x:c r="F196" s="136" t="str">
        <x:v>Pending</x:v>
      </x:c>
      <x:c r="G196" s="137" t="n">
        <x:v>0</x:v>
      </x:c>
      <x:c r="H196" s="136" t="str">
        <x:v>Critical</x:v>
      </x:c>
      <x:c r="I196" s="136" t="str">
        <x:v>Stage 6</x:v>
      </x:c>
      <x:c r="J196" s="136" t="str">
        <x:v>DevOps</x:v>
      </x:c>
      <x:c r="K196" s="136" t="str">
        <x:v>Cloudflare or implemented provider</x:v>
      </x:c>
      <x:c r="L196" s="136" t="str">
        <x:v>Uploads survive deployments and load through correct public URLs.</x:v>
      </x:c>
      <x:c r="M196" s="136" t="str">
        <x:v>Upload/display/delete; cache; failure</x:v>
      </x:c>
      <x:c r="N196" s="136" t="str">
        <x:v>Private Cloudflare delivery code and mock-provider checks are implemented under JW-083. No account/token/signing key/hash/variant is configured locally; durable staging/production storage and old-object migration are unverified.</x:v>
      </x:c>
      <x:c r="O196" s="136" t="str">
        <x:v>Configure Cloudflare and verify private media lifecycle and persistence across deployment/restart.</x:v>
      </x:c>
    </x:row>
    <x:row r="197">
      <x:c r="A197" s="135" t="str">
        <x:v>JW-193</x:v>
      </x:c>
      <x:c r="B197" s="135" t="str">
        <x:v>Deployment &amp; Operations</x:v>
      </x:c>
      <x:c r="C197" s="135" t="str">
        <x:v>Domain and HTTPS</x:v>
      </x:c>
      <x:c r="D197" s="136" t="str">
        <x:v>janiwheels.com canonical origin and TLS</x:v>
      </x:c>
      <x:c r="E197" s="136" t="str">
        <x:v>Technical Foundation</x:v>
      </x:c>
      <x:c r="F197" s="136" t="str">
        <x:v>Launch Configuration Pending</x:v>
      </x:c>
      <x:c r="G197" s="137" t="n">
        <x:v>0.6</x:v>
      </x:c>
      <x:c r="H197" s="136" t="str">
        <x:v>Critical</x:v>
      </x:c>
      <x:c r="I197" s="136" t="str">
        <x:v>Stage 6</x:v>
      </x:c>
      <x:c r="J197" s="136" t="str">
        <x:v>Unassigned</x:v>
      </x:c>
      <x:c r="K197" s="136" t="str">
        <x:v>DNS/hosting</x:v>
      </x:c>
      <x:c r="L197" s="136" t="str">
        <x:v>All HTTP/alternate hosts redirect to one HTTPS canonical origin.</x:v>
      </x:c>
      <x:c r="M197" s="136" t="str">
        <x:v>DNS; SSL; www/non-www; canonical tags</x:v>
      </x:c>
      <x:c r="N197" s="136" t="str">
        <x:v>8 Oct 2026 DNS check: ns91.host.com.pk/ns92.host.com.pk; apex resolves to existing cPanel server 5.101.140.80. Owner confirms Coming Soon site and no old website/mailbox data needs migration. Production HTTPS application is not deployed or verified.</x:v>
      </x:c>
      <x:c r="O197" s="136" t="str">
        <x:v>External team: recheck active DNS at cutover, update apex/www to selected host and verify TLS, redirects and canonical URL.</x:v>
      </x:c>
    </x:row>
    <x:row r="198">
      <x:c r="A198" s="135" t="str">
        <x:v>JW-194</x:v>
      </x:c>
      <x:c r="B198" s="135" t="str">
        <x:v>Deployment &amp; Operations</x:v>
      </x:c>
      <x:c r="C198" s="135" t="str">
        <x:v>Database backups</x:v>
      </x:c>
      <x:c r="D198" s="136" t="str">
        <x:v>Automated backups and tested restore</x:v>
      </x:c>
      <x:c r="E198" s="136" t="str">
        <x:v>Technical Foundation</x:v>
      </x:c>
      <x:c r="F198" s="136" t="str">
        <x:v>Pending</x:v>
      </x:c>
      <x:c r="G198" s="137" t="n">
        <x:v>0</x:v>
      </x:c>
      <x:c r="H198" s="136" t="str">
        <x:v>Critical</x:v>
      </x:c>
      <x:c r="I198" s="136" t="str">
        <x:v>Stage 6</x:v>
      </x:c>
      <x:c r="J198" s="136" t="str">
        <x:v>Unassigned</x:v>
      </x:c>
      <x:c r="K198" s="136" t="str">
        <x:v>Production DB</x:v>
      </x:c>
      <x:c r="L198" s="136" t="str">
        <x:v>Backup schedule meets recovery targets and restore test succeeds.</x:v>
      </x:c>
      <x:c r="M198" s="136" t="str">
        <x:v>Restore drill; retention; encryption</x:v>
      </x:c>
      <x:c r="N198" s="136" t="str">
        <x:v>Not configured.</x:v>
      </x:c>
      <x:c r="O198" s="136" t="str">
        <x:v>Implement before production data.</x:v>
      </x:c>
    </x:row>
    <x:row r="199">
      <x:c r="A199" s="135" t="str">
        <x:v>JW-195</x:v>
      </x:c>
      <x:c r="B199" s="135" t="str">
        <x:v>Deployment &amp; Operations</x:v>
      </x:c>
      <x:c r="C199" s="135" t="str">
        <x:v>Logging and error monitoring</x:v>
      </x:c>
      <x:c r="D199" s="136" t="str">
        <x:v>Centralized server errors and alerting</x:v>
      </x:c>
      <x:c r="E199" s="136" t="str">
        <x:v>Technical Foundation</x:v>
      </x:c>
      <x:c r="F199" s="136" t="str">
        <x:v>Partially Implemented</x:v>
      </x:c>
      <x:c r="G199" s="137" t="n">
        <x:v>0.75</x:v>
      </x:c>
      <x:c r="H199" s="136" t="str">
        <x:v>Critical</x:v>
      </x:c>
      <x:c r="I199" s="136" t="str">
        <x:v>Stage 6</x:v>
      </x:c>
      <x:c r="J199" s="136" t="str">
        <x:v>Unassigned</x:v>
      </x:c>
      <x:c r="K199" s="136" t="str">
        <x:v>Hosting/monitoring provider</x:v>
      </x:c>
      <x:c r="L199" s="136" t="str">
        <x:v>Unhandled failures are captured with useful context but no secrets.</x:v>
      </x:c>
      <x:c r="M199" s="136" t="str">
        <x:v>Synthetic error; alert delivery; PII review</x:v>
      </x:c>
      <x:c r="N199" s="136" t="str">
        <x:v>8 Oct review #9: shared safe handled-error logger used for lead, auth delivery, view count, upload/storage and cron failures. Marker regression confirms query/PII omission. External log sink/alerts require deployment setup.</x:v>
      </x:c>
      <x:c r="O199" s="136" t="str">
        <x:v>Configure hosted log retention/aggregation, monitoring recipients and end-to-end staging notifications.</x:v>
      </x:c>
    </x:row>
    <x:row r="200">
      <x:c r="A200" s="135" t="str">
        <x:v>JW-196</x:v>
      </x:c>
      <x:c r="B200" s="135" t="str">
        <x:v>Deployment &amp; Operations</x:v>
      </x:c>
      <x:c r="C200" s="135" t="str">
        <x:v>Uptime monitoring</x:v>
      </x:c>
      <x:c r="D200" s="136" t="str">
        <x:v>External checks for homepage, APIs and critical journeys</x:v>
      </x:c>
      <x:c r="E200" s="136" t="str">
        <x:v>Technical Foundation</x:v>
      </x:c>
      <x:c r="F200" s="136" t="str">
        <x:v>Partially Implemented</x:v>
      </x:c>
      <x:c r="G200" s="137" t="n">
        <x:v>0.4</x:v>
      </x:c>
      <x:c r="H200" s="136" t="str">
        <x:v>High</x:v>
      </x:c>
      <x:c r="I200" s="136" t="str">
        <x:v>Stage 6</x:v>
      </x:c>
      <x:c r="J200" s="136" t="str">
        <x:v>Unassigned</x:v>
      </x:c>
      <x:c r="K200" s="136" t="str">
        <x:v>Production/staging URL</x:v>
      </x:c>
      <x:c r="L200" s="136" t="str">
        <x:v>Downtime and degraded checks notify the responsible team.</x:v>
      </x:c>
      <x:c r="M200" s="136" t="str">
        <x:v>Failure simulation; alert escalation</x:v>
      </x:c>
      <x:c r="N200" s="136" t="str">
        <x:v>Added uncached/noindex /api/health readiness endpoint with DB check and generic 503 failures; success/failure redaction unit checks and desktop/mobile HTTP checks pass.</x:v>
      </x:c>
      <x:c r="O200" s="136" t="str">
        <x:v>Attach the selected external uptime monitor to HTTPS staging/production and verify notifications.</x:v>
      </x:c>
    </x:row>
    <x:row r="201">
      <x:c r="A201" s="135" t="str">
        <x:v>JW-197</x:v>
      </x:c>
      <x:c r="B201" s="135" t="str">
        <x:v>Deployment &amp; Operations</x:v>
      </x:c>
      <x:c r="C201" s="135" t="str">
        <x:v>Cron scheduling</x:v>
      </x:c>
      <x:c r="D201" s="136" t="str">
        <x:v>Invoke expiry and session cleanup jobs securely</x:v>
      </x:c>
      <x:c r="E201" s="136" t="str">
        <x:v>Technical Foundation</x:v>
      </x:c>
      <x:c r="F201" s="136" t="str">
        <x:v>Pending</x:v>
      </x:c>
      <x:c r="G201" s="137" t="n">
        <x:v>0</x:v>
      </x:c>
      <x:c r="H201" s="136" t="str">
        <x:v>High</x:v>
      </x:c>
      <x:c r="I201" s="136" t="str">
        <x:v>Stage 6</x:v>
      </x:c>
      <x:c r="J201" s="136" t="str">
        <x:v>Unassigned</x:v>
      </x:c>
      <x:c r="K201" s="136" t="str">
        <x:v>Hosting scheduler and CRON_SECRET</x:v>
      </x:c>
      <x:c r="L201" s="136" t="str">
        <x:v>Jobs run on schedule, authenticate, report outcomes and alert on failure.</x:v>
      </x:c>
      <x:c r="M201" s="136" t="str">
        <x:v>Authorized/unauthorized; missed run; retry</x:v>
      </x:c>
      <x:c r="N201" s="136" t="str">
        <x:v>Protected purge-expired endpoint now has browser/DB acceptance for orphan media cleanup. Production schedule, credentials, monitoring and alerting remain unconfigured.</x:v>
      </x:c>
      <x:c r="O201" s="136" t="str">
        <x:v>Configure in staging and monitor.</x:v>
      </x:c>
    </x:row>
    <x:row r="202">
      <x:c r="A202" s="135" t="str">
        <x:v>JW-198</x:v>
      </x:c>
      <x:c r="B202" s="135" t="str">
        <x:v>Deployment &amp; Operations</x:v>
      </x:c>
      <x:c r="C202" s="135" t="str">
        <x:v>Analytics/measurement</x:v>
      </x:c>
      <x:c r="D202" s="136" t="str">
        <x:v>Approved privacy-conscious traffic and conversion measurement</x:v>
      </x:c>
      <x:c r="E202" s="136" t="str">
        <x:v>Technical Foundation</x:v>
      </x:c>
      <x:c r="F202" s="136" t="str">
        <x:v>Partially Implemented</x:v>
      </x:c>
      <x:c r="G202" s="137" t="n">
        <x:v>0.95</x:v>
      </x:c>
      <x:c r="H202" s="136" t="str">
        <x:v>Medium</x:v>
      </x:c>
      <x:c r="I202" s="136" t="str">
        <x:v>Stage 6</x:v>
      </x:c>
      <x:c r="J202" s="136" t="str">
        <x:v>Product Owner / DevOps</x:v>
      </x:c>
      <x:c r="K202" s="136" t="str">
        <x:v>Analytics decision/privacy policy</x:v>
      </x:c>
      <x:c r="L202" s="136" t="str">
        <x:v>Page traffic and lead conversions are measurable without claiming advanced BI.</x:v>
      </x:c>
      <x:c r="M202" s="136" t="str">
        <x:v>Event accuracy; consent; duplicate events</x:v>
      </x:c>
      <x:c r="N202" s="136" t="str">
        <x:v>Read-only exact-database operator report supplies inventory, raw render/contact totals, anonymous retained monthly contacts, service/report status, email backlog and retention queues. DB redaction/read-only checks pass. Definitions explicitly distinguish renders from humans, contacts from sales and provider acceptance from delivery.</x:v>
      </x:c>
      <x:c r="O202" s="136" t="str">
        <x:v>Configure production operational reporting process. Recommendation: keep clearly labelled existing V1 counts; unique-human tracking needs a separate privacy/method decision if desired.</x:v>
      </x:c>
    </x:row>
    <x:row r="203">
      <x:c r="A203" s="135" t="str">
        <x:v>JW-199</x:v>
      </x:c>
      <x:c r="B203" s="135" t="str">
        <x:v>Deployment &amp; Operations</x:v>
      </x:c>
      <x:c r="C203" s="135" t="str">
        <x:v>Launch smoke test</x:v>
      </x:c>
      <x:c r="D203" s="136" t="str">
        <x:v>End-to-end production validation immediately before/after go-live</x:v>
      </x:c>
      <x:c r="E203" s="136" t="str">
        <x:v>Technical Foundation</x:v>
      </x:c>
      <x:c r="F203" s="136" t="str">
        <x:v>Pending</x:v>
      </x:c>
      <x:c r="G203" s="137" t="n">
        <x:v>0</x:v>
      </x:c>
      <x:c r="H203" s="136" t="str">
        <x:v>Critical</x:v>
      </x:c>
      <x:c r="I203" s="136" t="str">
        <x:v>Stage 6</x:v>
      </x:c>
      <x:c r="J203" s="136" t="str">
        <x:v>Unassigned</x:v>
      </x:c>
      <x:c r="K203" s="136" t="str">
        <x:v>Feature-complete production</x:v>
      </x:c>
      <x:c r="L203" s="136" t="str">
        <x:v>All critical public, seller, dealer, admin and assistance journeys pass with real services.</x:v>
      </x:c>
      <x:c r="M203" s="136" t="str">
        <x:v>Runbook with evidence and rollback gate</x:v>
      </x:c>
      <x:c r="N203" s="136" t="str">
        <x:v>Not yet applicable.</x:v>
      </x:c>
      <x:c r="O203" s="136" t="str">
        <x:v>Execute only after all critical tracker items are closed.</x:v>
      </x:c>
    </x:row>
    <x:row r="204">
      <x:c r="A204" s="135" t="str">
        <x:v>JW-200</x:v>
      </x:c>
      <x:c r="B204" s="135" t="str">
        <x:v>Excluded Scope</x:v>
      </x:c>
      <x:c r="C204" s="135" t="str">
        <x:v>Payments</x:v>
      </x:c>
      <x:c r="D204" s="136" t="str">
        <x:v>JazzCash, Easypaisa, card processing, callbacks and billing</x:v>
      </x:c>
      <x:c r="E204" s="136" t="str">
        <x:v>Excluded / Change Request</x:v>
      </x:c>
      <x:c r="F204" s="136" t="str">
        <x:v>Out of Scope / Removed</x:v>
      </x:c>
      <x:c r="G204" s="137" t="n">
        <x:v>1</x:v>
      </x:c>
      <x:c r="H204" s="136" t="str">
        <x:v>Do Not Build</x:v>
      </x:c>
      <x:c r="I204" s="136" t="str">
        <x:v>Excluded</x:v>
      </x:c>
      <x:c r="J204" s="136" t="str">
        <x:v>Unassigned</x:v>
      </x:c>
      <x:c r="K204" s="136" t="str">
        <x:v>Signed change request</x:v>
      </x:c>
      <x:c r="L204" s="136" t="str">
        <x:v>No payment code, keys, routes or UI in V1.</x:v>
      </x:c>
      <x:c r="M204" s="136" t="str">
        <x:v>Repository scan; route scan; dependency scan</x:v>
      </x:c>
      <x:c r="N204" s="136" t="str">
        <x:v>Removed on scope-alignment branch.</x:v>
      </x:c>
      <x:c r="O204" s="136" t="str">
        <x:v>Do not reintroduce without signed scope change.</x:v>
      </x:c>
    </x:row>
    <x:row r="205">
      <x:c r="A205" s="135" t="str">
        <x:v>JW-201</x:v>
      </x:c>
      <x:c r="B205" s="135" t="str">
        <x:v>Excluded Scope</x:v>
      </x:c>
      <x:c r="C205" s="135" t="str">
        <x:v>Featured ads</x:v>
      </x:c>
      <x:c r="D205" s="136" t="str">
        <x:v>Paid promotions, bumps and promoted ranking</x:v>
      </x:c>
      <x:c r="E205" s="136" t="str">
        <x:v>Excluded / Change Request</x:v>
      </x:c>
      <x:c r="F205" s="136" t="str">
        <x:v>Out of Scope / Removed</x:v>
      </x:c>
      <x:c r="G205" s="137" t="n">
        <x:v>1</x:v>
      </x:c>
      <x:c r="H205" s="136" t="str">
        <x:v>Do Not Build</x:v>
      </x:c>
      <x:c r="I205" s="136" t="str">
        <x:v>Excluded</x:v>
      </x:c>
      <x:c r="J205" s="136" t="str">
        <x:v>Unassigned</x:v>
      </x:c>
      <x:c r="K205" s="136" t="str">
        <x:v>Signed change request</x:v>
      </x:c>
      <x:c r="L205" s="136" t="str">
        <x:v>Latest listings remain chronological/approved sort without paid placement.</x:v>
      </x:c>
      <x:c r="M205" s="136" t="str">
        <x:v>Search ordering; repository scan</x:v>
      </x:c>
      <x:c r="N205" s="136" t="str">
        <x:v>Removed; homepage uses Latest Listings.</x:v>
      </x:c>
      <x:c r="O205" s="136" t="str">
        <x:v>Do not reintroduce.</x:v>
      </x:c>
    </x:row>
    <x:row r="206">
      <x:c r="A206" s="135" t="str">
        <x:v>JW-202</x:v>
      </x:c>
      <x:c r="B206" s="135" t="str">
        <x:v>Excluded Scope</x:v>
      </x:c>
      <x:c r="C206" s="135" t="str">
        <x:v>Dealer subscriptions</x:v>
      </x:c>
      <x:c r="D206" s="136" t="str">
        <x:v>Plans, recurring billing and paid analytics</x:v>
      </x:c>
      <x:c r="E206" s="136" t="str">
        <x:v>Excluded / Change Request</x:v>
      </x:c>
      <x:c r="F206" s="136" t="str">
        <x:v>Out of Scope / Removed</x:v>
      </x:c>
      <x:c r="G206" s="137" t="n">
        <x:v>1</x:v>
      </x:c>
      <x:c r="H206" s="136" t="str">
        <x:v>Do Not Build</x:v>
      </x:c>
      <x:c r="I206" s="136" t="str">
        <x:v>Excluded</x:v>
      </x:c>
      <x:c r="J206" s="136" t="str">
        <x:v>Unassigned</x:v>
      </x:c>
      <x:c r="K206" s="136" t="str">
        <x:v>Signed change request</x:v>
      </x:c>
      <x:c r="L206" s="136" t="str">
        <x:v>Dealer V1 remains basic profile/storefront/dashboard.</x:v>
      </x:c>
      <x:c r="M206" s="136" t="str">
        <x:v>Repository scan</x:v>
      </x:c>
      <x:c r="N206" s="136" t="str">
        <x:v>Removed.</x:v>
      </x:c>
      <x:c r="O206" s="136" t="str">
        <x:v>Do not reintroduce.</x:v>
      </x:c>
    </x:row>
    <x:row r="207">
      <x:c r="A207" s="135" t="str">
        <x:v>JW-203</x:v>
      </x:c>
      <x:c r="B207" s="135" t="str">
        <x:v>Excluded Scope</x:v>
      </x:c>
      <x:c r="C207" s="135" t="str">
        <x:v>Financing and valuation</x:v>
      </x:c>
      <x:c r="D207" s="136" t="str">
        <x:v>Finance calculator, banking/insurance integration and market-price prediction</x:v>
      </x:c>
      <x:c r="E207" s="136" t="str">
        <x:v>Excluded / Change Request</x:v>
      </x:c>
      <x:c r="F207" s="136" t="str">
        <x:v>Out of Scope / Removed</x:v>
      </x:c>
      <x:c r="G207" s="137" t="n">
        <x:v>1</x:v>
      </x:c>
      <x:c r="H207" s="136" t="str">
        <x:v>Do Not Build</x:v>
      </x:c>
      <x:c r="I207" s="136" t="str">
        <x:v>Excluded</x:v>
      </x:c>
      <x:c r="J207" s="136" t="str">
        <x:v>Unassigned</x:v>
      </x:c>
      <x:c r="K207" s="136" t="str">
        <x:v>Signed change request</x:v>
      </x:c>
      <x:c r="L207" s="136" t="str">
        <x:v>No finance/valuation claims or routes exist.</x:v>
      </x:c>
      <x:c r="M207" s="136" t="str">
        <x:v>Repository and UI scan</x:v>
      </x:c>
      <x:c r="N207" s="136" t="str">
        <x:v>Removed.</x:v>
      </x:c>
      <x:c r="O207" s="136" t="str">
        <x:v>Do not reintroduce.</x:v>
      </x:c>
    </x:row>
    <x:row r="208">
      <x:c r="A208" s="135" t="str">
        <x:v>JW-204</x:v>
      </x:c>
      <x:c r="B208" s="135" t="str">
        <x:v>Excluded Scope</x:v>
      </x:c>
      <x:c r="C208" s="135" t="str">
        <x:v>E-commerce</x:v>
      </x:c>
      <x:c r="D208" s="136" t="str">
        <x:v>Parts cart, checkout, shipping, fulfilment, order tracking and online inventory fulfilment</x:v>
      </x:c>
      <x:c r="E208" s="136" t="str">
        <x:v>Excluded / Change Request</x:v>
      </x:c>
      <x:c r="F208" s="136" t="str">
        <x:v>Out of Scope / Removed</x:v>
      </x:c>
      <x:c r="G208" s="137" t="n">
        <x:v>1</x:v>
      </x:c>
      <x:c r="H208" s="136" t="str">
        <x:v>Do Not Build</x:v>
      </x:c>
      <x:c r="I208" s="136" t="str">
        <x:v>Excluded</x:v>
      </x:c>
      <x:c r="J208" s="136" t="str">
        <x:v>Unassigned</x:v>
      </x:c>
      <x:c r="K208" s="136" t="str">
        <x:v>Signed change request</x:v>
      </x:c>
      <x:c r="L208" s="136" t="str">
        <x:v>Auto Parts remains classified contact only.</x:v>
      </x:c>
      <x:c r="M208" s="136" t="str">
        <x:v>Route/model/UI scan</x:v>
      </x:c>
      <x:c r="N208" s="136" t="str">
        <x:v>No transaction workflow remains.</x:v>
      </x:c>
      <x:c r="O208" s="136" t="str">
        <x:v>Do not reintroduce.</x:v>
      </x:c>
    </x:row>
    <x:row r="209">
      <x:c r="A209" s="135" t="str">
        <x:v>JW-205</x:v>
      </x:c>
      <x:c r="B209" s="135" t="str">
        <x:v>Excluded Scope</x:v>
      </x:c>
      <x:c r="C209" s="135" t="str">
        <x:v>Automatic imports</x:v>
      </x:c>
      <x:c r="D209" s="136" t="str">
        <x:v>CSV scraping, bulk dealer import and third-party feed sync</x:v>
      </x:c>
      <x:c r="E209" s="136" t="str">
        <x:v>Excluded / Change Request</x:v>
      </x:c>
      <x:c r="F209" s="136" t="str">
        <x:v>Out of Scope / Removed</x:v>
      </x:c>
      <x:c r="G209" s="137" t="n">
        <x:v>1</x:v>
      </x:c>
      <x:c r="H209" s="136" t="str">
        <x:v>Do Not Build</x:v>
      </x:c>
      <x:c r="I209" s="136" t="str">
        <x:v>Excluded</x:v>
      </x:c>
      <x:c r="J209" s="136" t="str">
        <x:v>Unassigned</x:v>
      </x:c>
      <x:c r="K209" s="136" t="str">
        <x:v>Signed change request</x:v>
      </x:c>
      <x:c r="L209" s="136" t="str">
        <x:v>All V1 listings are created through approved manual forms.</x:v>
      </x:c>
      <x:c r="M209" s="136" t="str">
        <x:v>API/dependency scan</x:v>
      </x:c>
      <x:c r="N209" s="136" t="str">
        <x:v>Removed.</x:v>
      </x:c>
      <x:c r="O209" s="136" t="str">
        <x:v>Do not reintroduce.</x:v>
      </x:c>
    </x:row>
    <x:row r="210">
      <x:c r="A210" s="135" t="str">
        <x:v>JW-206</x:v>
      </x:c>
      <x:c r="B210" s="135" t="str">
        <x:v>Excluded Scope</x:v>
      </x:c>
      <x:c r="C210" s="135" t="str">
        <x:v>SMS OTP</x:v>
      </x:c>
      <x:c r="D210" s="136" t="str">
        <x:v>Twilio/SMS login and verification</x:v>
      </x:c>
      <x:c r="E210" s="136" t="str">
        <x:v>Excluded / Change Request</x:v>
      </x:c>
      <x:c r="F210" s="136" t="str">
        <x:v>Out of Scope / Removed</x:v>
      </x:c>
      <x:c r="G210" s="137" t="n">
        <x:v>1</x:v>
      </x:c>
      <x:c r="H210" s="136" t="str">
        <x:v>Do Not Build</x:v>
      </x:c>
      <x:c r="I210" s="136" t="str">
        <x:v>Excluded</x:v>
      </x:c>
      <x:c r="J210" s="136" t="str">
        <x:v>Unassigned</x:v>
      </x:c>
      <x:c r="K210" s="136" t="str">
        <x:v>Signed change request</x:v>
      </x:c>
      <x:c r="L210" s="136" t="str">
        <x:v>Authentication remains password-based; recovery must not silently add SMS costs.</x:v>
      </x:c>
      <x:c r="M210" s="136" t="str">
        <x:v>Dependency/env/route scan</x:v>
      </x:c>
      <x:c r="N210" s="136" t="str">
        <x:v>Removed and replaced with password authentication.</x:v>
      </x:c>
      <x:c r="O210" s="136" t="str">
        <x:v>Do not reintroduce.</x:v>
      </x:c>
    </x:row>
    <x:row r="211">
      <x:c r="A211" s="135" t="str">
        <x:v>JW-207</x:v>
      </x:c>
      <x:c r="B211" s="135" t="str">
        <x:v>Excluded Scope</x:v>
      </x:c>
      <x:c r="C211" s="135" t="str">
        <x:v>Inspection workforce tooling</x:v>
      </x:c>
      <x:c r="D211" s="136" t="str">
        <x:v>Packages, pricing, scheduling, inspector assignment, scoring and PDF reports</x:v>
      </x:c>
      <x:c r="E211" s="136" t="str">
        <x:v>Excluded / Change Request</x:v>
      </x:c>
      <x:c r="F211" s="136" t="str">
        <x:v>Out of Scope / Removed</x:v>
      </x:c>
      <x:c r="G211" s="137" t="n">
        <x:v>1</x:v>
      </x:c>
      <x:c r="H211" s="136" t="str">
        <x:v>Do Not Build</x:v>
      </x:c>
      <x:c r="I211" s="136" t="str">
        <x:v>Excluded</x:v>
      </x:c>
      <x:c r="J211" s="136" t="str">
        <x:v>Unassigned</x:v>
      </x:c>
      <x:c r="K211" s="136" t="str">
        <x:v>Signed change request</x:v>
      </x:c>
      <x:c r="L211" s="136" t="str">
        <x:v>Inspection remains a request and manual follow-up service only.</x:v>
      </x:c>
      <x:c r="M211" s="136" t="str">
        <x:v>Schema/route/UI scan</x:v>
      </x:c>
      <x:c r="N211" s="136" t="str">
        <x:v>Removed.</x:v>
      </x:c>
      <x:c r="O211" s="136" t="str">
        <x:v>Do not reintroduce.</x:v>
      </x:c>
    </x:row>
    <x:row r="212">
      <x:c r="A212" s="135" t="str">
        <x:v>JW-208</x:v>
      </x:c>
      <x:c r="B212" s="135" t="str">
        <x:v>Excluded Scope</x:v>
      </x:c>
      <x:c r="C212" s="135" t="str">
        <x:v>Internal live chat</x:v>
      </x:c>
      <x:c r="D212" s="136" t="str">
        <x:v>Buyer-seller chat or WhatsApp Business API automation</x:v>
      </x:c>
      <x:c r="E212" s="136" t="str">
        <x:v>Excluded / Change Request</x:v>
      </x:c>
      <x:c r="F212" s="136" t="str">
        <x:v>Out of Scope / Removed</x:v>
      </x:c>
      <x:c r="G212" s="137" t="n">
        <x:v>1</x:v>
      </x:c>
      <x:c r="H212" s="136" t="str">
        <x:v>Do Not Build</x:v>
      </x:c>
      <x:c r="I212" s="136" t="str">
        <x:v>Excluded</x:v>
      </x:c>
      <x:c r="J212" s="136" t="str">
        <x:v>Unassigned</x:v>
      </x:c>
      <x:c r="K212" s="136" t="str">
        <x:v>Signed change request</x:v>
      </x:c>
      <x:c r="L212" s="136" t="str">
        <x:v>Buyer contacts seller directly by approved phone/WhatsApp link only.</x:v>
      </x:c>
      <x:c r="M212" s="136" t="str">
        <x:v>Route/dependency scan</x:v>
      </x:c>
      <x:c r="N212" s="136" t="str">
        <x:v>Not implemented.</x:v>
      </x:c>
      <x:c r="O212" s="136" t="str">
        <x:v>Do not build in V1.</x:v>
      </x:c>
    </x:row>
    <x:row r="213">
      <x:c r="A213" s="135" t="str">
        <x:v>JW-209</x:v>
      </x:c>
      <x:c r="B213" s="135" t="str">
        <x:v>Excluded Scope</x:v>
      </x:c>
      <x:c r="C213" s="135" t="str">
        <x:v>Advanced platform modules</x:v>
      </x:c>
      <x:c r="D213" s="136" t="str">
        <x:v>CRM, ERP, BI, multilingual and AI recommendation systems</x:v>
      </x:c>
      <x:c r="E213" s="136" t="str">
        <x:v>Excluded / Change Request</x:v>
      </x:c>
      <x:c r="F213" s="136" t="str">
        <x:v>Out of Scope / Removed</x:v>
      </x:c>
      <x:c r="G213" s="137" t="n">
        <x:v>1</x:v>
      </x:c>
      <x:c r="H213" s="136" t="str">
        <x:v>Do Not Build</x:v>
      </x:c>
      <x:c r="I213" s="136" t="str">
        <x:v>Excluded</x:v>
      </x:c>
      <x:c r="J213" s="136" t="str">
        <x:v>Unassigned</x:v>
      </x:c>
      <x:c r="K213" s="136" t="str">
        <x:v>Signed change request</x:v>
      </x:c>
      <x:c r="L213" s="136" t="str">
        <x:v>No hidden scope growth delays the signed marketplace V1.</x:v>
      </x:c>
      <x:c r="M213" s="136" t="str">
        <x:v>Backlog/repository review</x:v>
      </x:c>
      <x:c r="N213" s="136" t="str">
        <x:v>Explicitly outside current architecture guardrail.</x:v>
      </x:c>
      <x:c r="O213" s="136" t="str">
        <x:v>Do not build in V1.</x:v>
      </x:c>
    </x:row>
    <x:row r="214">
      <x:c r="A214" t="str">
        <x:v>JW-210</x:v>
      </x:c>
      <x:c r="B214" t="str">
        <x:v>Authentication</x:v>
      </x:c>
      <x:c r="C214" t="str">
        <x:v>Google-first authentication</x:v>
      </x:c>
      <x:c r="D214" t="str">
        <x:v>Google/Google-based first login with verified email registration as secondary; retain mobile/password for existing users; Facebook and SMS OTP excluded.</x:v>
      </x:c>
      <x:c r="E214" t="str">
        <x:v>V1</x:v>
      </x:c>
      <x:c r="F214" t="str">
        <x:v>Completed</x:v>
      </x:c>
      <x:c r="G214" t="n">
        <x:v>1</x:v>
      </x:c>
      <x:c r="H214" t="str">
        <x:v>Critical</x:v>
      </x:c>
      <x:c r="I214" t="str">
        <x:v>Stage 2</x:v>
      </x:c>
      <x:c r="J214" t="str">
        <x:v>Unassigned</x:v>
      </x:c>
      <x:c r="K214" t="str">
        <x:v>Google OAuth provider and local PostgreSQL</x:v>
      </x:c>
      <x:c r="L214" t="str">
        <x:v>Google callback creates/updates user and session without exposing provider secrets; repair is idempotent.</x:v>
      </x:c>
      <x:c r="M214" t="str">
        <x:v>Google-auth static checks; database repair; local browser callback; full check/lint/build</x:v>
      </x:c>
      <x:c r="N214" t="str">
        <x:v>Google signup succeeded locally on 8 Sep 2026 after repairing schema drift. Root cause was missing users.updated_at (PostgreSQL 42703). Repair and regression check now cover the column; 12/12 Google-auth checks, full check, lint and build:safe passed.</x:v>
      </x:c>
      <x:c r="O214" t="str">
        <x:v>Keep secrets unchanged; repeat provider/browser acceptance at final QA and production configuration.</x:v>
      </x:c>
    </x:row>
    <x:row r="215">
      <x:c r="A215" t="str">
        <x:v>JW-211</x:v>
      </x:c>
      <x:c r="B215" t="str">
        <x:v>Listing Creation</x:v>
      </x:c>
      <x:c r="C215" t="str">
        <x:v>Approximate map-based ad location</x:v>
      </x:c>
      <x:c r="D215" t="str">
        <x:v>Allow seller to select an approximate map/location in V1. Store exact location privately; expose only an approved approximate area publicly.</x:v>
      </x:c>
      <x:c r="E215" t="str">
        <x:v>V1</x:v>
      </x:c>
      <x:c r="F215" t="str">
        <x:v>Partially Implemented</x:v>
      </x:c>
      <x:c r="G215" t="n">
        <x:v>0.9</x:v>
      </x:c>
      <x:c r="H215" t="str">
        <x:v>High</x:v>
      </x:c>
      <x:c r="I215" t="str">
        <x:v>Stage 2</x:v>
      </x:c>
      <x:c r="J215" t="str">
        <x:v>Unassigned</x:v>
      </x:c>
      <x:c r="K215" t="str">
        <x:v>Location privacy model, map provider and listing forms</x:v>
      </x:c>
      <x:c r="L215" t="str">
        <x:v>Seller can choose location, exact coordinates are access-controlled, public pages reveal only approximate area, and removal/editing is supported.</x:v>
      </x:c>
      <x:c r="M215" t="str">
        <x:v>Privacy/security review; DB acceptance; create/edit/detail tests; final responsive browser QA</x:v>
      </x:c>
      <x:c r="N215" t="str">
        <x:v>8 Oct review #7: each car/bike/part publication validates area belongs to selected city before claiming photos. All three rollback regressions pass. Existing approximate-location privacy retained; live Google Maps billing/provider acceptance remains.</x:v>
      </x:c>
      <x:c r="O215" t="str">
        <x:v>Enable billing without exposing the key; test car/bike/parts create, edit and public detail, then verify exact coordinates remain private.</x:v>
      </x:c>
    </x:row>
  </x:sheetData>
  <x:mergeCells>
    <x:mergeCell ref="A1:O1"/>
    <x:mergeCell ref="A2:O2"/>
  </x:mergeCells>
  <x:conditionalFormatting sqref="F5:F213">
    <x:cfRule type="containsText" dxfId="0" priority="1" operator="containsText" text="Completed"/>
    <x:cfRule type="containsText" dxfId="1" priority="2" operator="containsText" text="Feature Branch"/>
    <x:cfRule type="containsText" dxfId="2" priority="3" operator="containsText" text="Partially"/>
    <x:cfRule type="containsText" dxfId="3" priority="4" operator="containsText" text="Data Layer"/>
    <x:cfRule type="containsText" dxfId="4" priority="5" operator="containsText" text="Requires Correction"/>
    <x:cfRule type="containsText" dxfId="5" priority="6" operator="containsText" text="Pending"/>
    <x:cfRule type="containsText" dxfId="6" priority="7" operator="containsText" text="Out of Scope"/>
  </x:conditionalFormatting>
  <x:conditionalFormatting sqref="G5:G213">
    <x:cfRule type="dataBar" priority="8">
      <x:dataBar>
        <x:cfvo type="min"/>
        <x:cfvo type="max"/>
        <x:color rgb="FFF7B500"/>
      </x:dataBar>
      <x:extLst>
        <x:ext xmlns:x14="http://schemas.microsoft.com/office/spreadsheetml/2009/9/main" uri="{B025F937-C7B1-47D3-B67F-A62EFF666E3E}">
          <x14:id>{2CE813AB-3D70-59D4-A943-06E03FFCBB47}</x14:id>
        </x:ext>
      </x:extLst>
    </x:cfRule>
  </x:conditionalFormatting>
  <x:dataValidations count="4">
    <x:dataValidation type="list" sqref="F5:F413">
      <x:formula1>'Lists'!$A$2:$A$9</x:formula1>
    </x:dataValidation>
    <x:dataValidation type="list" sqref="H5:H413">
      <x:formula1>'Lists'!$B$2:$B$6</x:formula1>
    </x:dataValidation>
    <x:dataValidation type="list" sqref="J5:J413">
      <x:formula1>'Lists'!$C$2:$C$10</x:formula1>
    </x:dataValidation>
    <x:dataValidation type="list" sqref="I5:I413">
      <x:formula1>'Lists'!$D$2:$D$10</x:formula1>
    </x:dataValidation>
  </x:dataValidations>
  <x:pageMargins left="0.7" right="0.7" top="0.75" bottom="0.75" header="0.3" footer="0.3"/>
  <x:tableParts count="1">
    <x:tablePart xmlns:r="http://schemas.openxmlformats.org/officeDocument/2006/relationships" r:id="R1730576df6704d04"/>
  </x:tableParts>
  <x:extLst>
    <x:ext xmlns:x14="http://schemas.microsoft.com/office/spreadsheetml/2009/9/main" xmlns:xm="http://schemas.microsoft.com/office/excel/2006/main" uri="{78C0D931-6437-407d-A8EE-F0AAD7539E65}">
      <x14:conditionalFormattings>
        <x14:conditionalFormatting>
          <x14:cfRule type="dataBar" priority="8" id="{2CE813AB-3D70-59D4-A943-06E03FFCBB47}">
            <x14:dataBar gradient="1">
              <x14:cfvo type="min"/>
              <x14:cfvo type="max"/>
              <x14:fillColor rgb="FFF7B500"/>
            </x14:dataBar>
          </x14:cfRule>
          <xm:sqref>G5:G213</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34" hidden="0" customWidth="1"/>
    <x:col min="4" max="4" width="38" hidden="0" customWidth="1"/>
    <x:col min="5" max="5" width="55" hidden="0" customWidth="1"/>
    <x:col min="6" max="6" width="48" hidden="0" customWidth="1"/>
    <x:col min="7" max="7" width="16" hidden="0" customWidth="1"/>
  </x:cols>
  <x:sheetData>
    <x:row r="1">
      <x:c r="A1" s="138" t="str">
        <x:v>JaniWheels Step-by-Step Development Roadmap</x:v>
      </x:c>
      <x:c r="B1" s="138"/>
      <x:c r="C1" s="138"/>
      <x:c r="D1" s="138"/>
      <x:c r="E1" s="138"/>
      <x:c r="F1" s="138"/>
      <x:c r="G1" s="138"/>
    </x:row>
    <x:row r="2">
      <x:c r="A2" s="139" t="str">
        <x:v>Verified development is committed, pushed and recorded automatically under owner authorization. PR review and main merge remain separate. Local browser/DB acceptance runs alongside packages; live/real-device launch acceptance remains open.</x:v>
      </x:c>
      <x:c r="B2" s="139"/>
      <x:c r="C2" s="139"/>
      <x:c r="D2" s="139"/>
      <x:c r="E2" s="139"/>
      <x:c r="F2" s="139"/>
      <x:c r="G2" s="139"/>
    </x:row>
    <x:row r="3">
      <x:c r="A3" s="88"/>
      <x:c r="B3" s="88"/>
      <x:c r="C3" s="88"/>
      <x:c r="D3" s="88"/>
      <x:c r="E3" s="88"/>
      <x:c r="F3" s="88"/>
      <x:c r="G3" s="88"/>
    </x:row>
    <x:row r="4">
      <x:c r="A4" s="140" t="str">
        <x:v>Order</x:v>
      </x:c>
      <x:c r="B4" s="140" t="str">
        <x:v>Stage</x:v>
      </x:c>
      <x:c r="C4" s="140" t="str">
        <x:v>Work Package</x:v>
      </x:c>
      <x:c r="D4" s="140" t="str">
        <x:v>Suggested Branch</x:v>
      </x:c>
      <x:c r="E4" s="140" t="str">
        <x:v>Included Scope</x:v>
      </x:c>
      <x:c r="F4" s="140" t="str">
        <x:v>Exit Gate</x:v>
      </x:c>
      <x:c r="G4" s="140" t="str">
        <x:v>Status</x:v>
      </x:c>
    </x:row>
    <x:row r="5">
      <x:c r="A5" s="88" t="str">
        <x:v>0.1</x:v>
      </x:c>
      <x:c r="B5" s="88" t="str">
        <x:v>Stage 0</x:v>
      </x:c>
      <x:c r="C5" s="141" t="str">
        <x:v>Homepage branch review</x:v>
      </x:c>
      <x:c r="D5" s="141" t="str">
        <x:v>feature/homepage-ui-redesign</x:v>
      </x:c>
      <x:c r="E5" s="141" t="str">
        <x:v>User reviews desktop/mobile local preview; requested UI defects are fixed; automated checks pass.</x:v>
      </x:c>
      <x:c r="F5" s="141" t="str">
        <x:v>PR #2 approved and merged only after explicit user approval.</x:v>
      </x:c>
      <x:c r="G5" s="141" t="str">
        <x:v>Completed</x:v>
      </x:c>
    </x:row>
    <x:row r="6">
      <x:c r="A6" s="88" t="str">
        <x:v>1.1</x:v>
      </x:c>
      <x:c r="B6" s="88" t="str">
        <x:v>Stage 1</x:v>
      </x:c>
      <x:c r="C6" s="141" t="str">
        <x:v>Private listing visibility</x:v>
      </x:c>
      <x:c r="D6" s="141" t="str">
        <x:v>security/inactive-listing-visibility</x:v>
      </x:c>
      <x:c r="E6" s="141" t="str">
        <x:v>Non-active listings cannot be viewed/contacted by the public; owner/admin exceptions are tested.</x:v>
      </x:c>
      <x:c r="F6" s="141" t="str">
        <x:v>Critical security regression tests pass.</x:v>
      </x:c>
      <x:c r="G6" s="141" t="str">
        <x:v>Completed</x:v>
      </x:c>
    </x:row>
    <x:row r="7">
      <x:c r="A7" s="88" t="str">
        <x:v>1.2</x:v>
      </x:c>
      <x:c r="B7" s="88" t="str">
        <x:v>Stage 1</x:v>
      </x:c>
      <x:c r="C7" s="141" t="str">
        <x:v>Instant publication alignment</x:v>
      </x:c>
      <x:c r="D7" s="141" t="str">
        <x:v>feature/instant-listing-publication</x:v>
      </x:c>
      <x:c r="E7" s="141" t="str">
        <x:v>Valid listings publish active immediately and moderation becomes post-publication.</x:v>
      </x:c>
      <x:c r="F7" s="141" t="str">
        <x:v>Cars verified for individual/unverified/verified dealer cases.</x:v>
      </x:c>
      <x:c r="G7" s="141" t="str">
        <x:v>Completed</x:v>
      </x:c>
    </x:row>
    <x:row r="8">
      <x:c r="A8" s="88" t="str">
        <x:v>1.3</x:v>
      </x:c>
      <x:c r="B8" s="88" t="str">
        <x:v>Stage 1</x:v>
      </x:c>
      <x:c r="C8" s="141" t="str">
        <x:v>Parts filter correctness</x:v>
      </x:c>
      <x:c r="D8" s="141" t="str">
        <x:v>fix/parts-search-filters</x:v>
      </x:c>
      <x:c r="E8" s="141" t="str">
        <x:v>Category and condition URLs accurately filter results.</x:v>
      </x:c>
      <x:c r="F8" s="141" t="str">
        <x:v>DB integration cases pass for all parts facets.</x:v>
      </x:c>
      <x:c r="G8" s="141" t="str">
        <x:v>Completed</x:v>
      </x:c>
    </x:row>
    <x:row r="9">
      <x:c r="A9" s="88" t="str">
        <x:v>1.4</x:v>
      </x:c>
      <x:c r="B9" s="88" t="str">
        <x:v>Stage 1</x:v>
      </x:c>
      <x:c r="C9" s="141" t="str">
        <x:v>Upload ownership and rate limiting</x:v>
      </x:c>
      <x:c r="D9" s="141" t="str">
        <x:v>security/upload-and-abuse-controls</x:v>
      </x:c>
      <x:c r="E9" s="141" t="str">
        <x:v>Media keys are user-bound and critical endpoints are throttled.</x:v>
      </x:c>
      <x:c r="F9" s="141" t="str">
        <x:v>Cross-user/abuse tests pass.</x:v>
      </x:c>
      <x:c r="G9" s="141" t="str">
        <x:v>Completed</x:v>
      </x:c>
    </x:row>
    <x:row r="10">
      <x:c r="A10" s="88" t="str">
        <x:v>2.1</x:v>
      </x:c>
      <x:c r="B10" s="88" t="str">
        <x:v>Stage 2</x:v>
      </x:c>
      <x:c r="C10" s="141" t="str">
        <x:v>Complete car form and edit/delete</x:v>
      </x:c>
      <x:c r="D10" s="141" t="str">
        <x:v>feature/car-listing-crud</x:v>
      </x:c>
      <x:c r="E10" s="141" t="str">
        <x:v>All agreed car fields and owner CRUD work with image management.</x:v>
      </x:c>
      <x:c r="F10" s="141" t="str">
        <x:v>Car acceptance and security suite passes.</x:v>
      </x:c>
      <x:c r="G10" s="141" t="str">
        <x:v>Completed</x:v>
      </x:c>
    </x:row>
    <x:row r="11">
      <x:c r="A11" s="88" t="str">
        <x:v>2.2</x:v>
      </x:c>
      <x:c r="B11" s="88" t="str">
        <x:v>Stage 2</x:v>
      </x:c>
      <x:c r="C11" s="141" t="str">
        <x:v>Bike listing CRUD</x:v>
      </x:c>
      <x:c r="D11" s="141" t="str">
        <x:v>feature/bike-listing-crud</x:v>
      </x:c>
      <x:c r="E11" s="141" t="str">
        <x:v>Bike create/edit/delete/mark sold works end to end.</x:v>
      </x:c>
      <x:c r="F11" s="141" t="str">
        <x:v>Bike acceptance suite passes.</x:v>
      </x:c>
      <x:c r="G11" s="141" t="str">
        <x:v>Completed</x:v>
      </x:c>
    </x:row>
    <x:row r="12">
      <x:c r="A12" s="88" t="str">
        <x:v>2.3</x:v>
      </x:c>
      <x:c r="B12" s="88" t="str">
        <x:v>Stage 2</x:v>
      </x:c>
      <x:c r="C12" s="141" t="str">
        <x:v>Parts listing CRUD</x:v>
      </x:c>
      <x:c r="D12" s="141" t="str">
        <x:v>feature/parts-listing-crud</x:v>
      </x:c>
      <x:c r="E12" s="141" t="str">
        <x:v>Parts classified create/edit/delete works with compatibility and no e-commerce.</x:v>
      </x:c>
      <x:c r="F12" s="141" t="str">
        <x:v>Parts acceptance suite passes.</x:v>
      </x:c>
      <x:c r="G12" s="141" t="str">
        <x:v>Completed</x:v>
      </x:c>
    </x:row>
    <x:row r="13">
      <x:c r="A13" s="88" t="str">
        <x:v>2.4</x:v>
      </x:c>
      <x:c r="B13" s="88" t="str">
        <x:v>Stage 2</x:v>
      </x:c>
      <x:c r="C13" s="141" t="str">
        <x:v>Profile and password recovery</x:v>
      </x:c>
      <x:c r="D13" s="141" t="str">
        <x:v>feature/account-management</x:v>
      </x:c>
      <x:c r="E13" s="141" t="str">
        <x:v>Profile edit and secure email-based password reset work.</x:v>
      </x:c>
      <x:c r="F13" s="141" t="str">
        <x:v>Account E2E and security cases pass.</x:v>
      </x:c>
      <x:c r="G13" s="141" t="str">
        <x:v>Completed</x:v>
      </x:c>
    </x:row>
    <x:row r="14">
      <x:c r="A14" s="88" t="str">
        <x:v>3.1</x:v>
      </x:c>
      <x:c r="B14" s="88" t="str">
        <x:v>Stage 3</x:v>
      </x:c>
      <x:c r="C14" s="141" t="str">
        <x:v>Browse filter experience</x:v>
      </x:c>
      <x:c r="D14" s="141" t="str">
        <x:v>feature/browse-filters</x:v>
      </x:c>
      <x:c r="E14" s="141" t="str">
        <x:v>All supported filters are accessible on desktop/mobile and URL-synchronized.</x:v>
      </x:c>
      <x:c r="F14" s="141" t="str">
        <x:v>Filter accuracy and responsive tests pass.</x:v>
      </x:c>
      <x:c r="G14" s="141" t="str">
        <x:v>Completed</x:v>
      </x:c>
    </x:row>
    <x:row r="15">
      <x:c r="A15" s="88" t="str">
        <x:v>3.2</x:v>
      </x:c>
      <x:c r="B15" s="88" t="str">
        <x:v>Stage 3</x:v>
      </x:c>
      <x:c r="C15" s="141" t="str">
        <x:v>Favourites and recently viewed</x:v>
      </x:c>
      <x:c r="D15" s="141" t="str">
        <x:v>feature/buyer-retention</x:v>
      </x:c>
      <x:c r="E15" s="141" t="str">
        <x:v>Save/unsave, saved page and conditional recent history work.</x:v>
      </x:c>
      <x:c r="F15" s="141" t="str">
        <x:v>Auth/anonymous/stale-data cases pass.</x:v>
      </x:c>
      <x:c r="G15" s="141" t="str">
        <x:v>Completed</x:v>
      </x:c>
    </x:row>
    <x:row r="16">
      <x:c r="A16" s="88" t="str">
        <x:v>3.3</x:v>
      </x:c>
      <x:c r="B16" s="88" t="str">
        <x:v>Stage 3</x:v>
      </x:c>
      <x:c r="C16" s="141" t="str">
        <x:v>Vehicle comparison</x:v>
      </x:c>
      <x:c r="D16" s="141" t="str">
        <x:v>feature/vehicle-comparison</x:v>
      </x:c>
      <x:c r="E16" s="141" t="str">
        <x:v>2-3 comparable listings can be reviewed side by side.</x:v>
      </x:c>
      <x:c r="F16" s="141" t="str">
        <x:v>Selection limits and mobile layout pass.</x:v>
      </x:c>
      <x:c r="G16" s="141" t="str">
        <x:v>Completed</x:v>
      </x:c>
    </x:row>
    <x:row r="17">
      <x:c r="A17" s="88" t="str">
        <x:v>3.4</x:v>
      </x:c>
      <x:c r="B17" s="88" t="str">
        <x:v>Stage 3</x:v>
      </x:c>
      <x:c r="C17" s="141" t="str">
        <x:v>Saved searches and email alerts</x:v>
      </x:c>
      <x:c r="D17" s="141" t="str">
        <x:v>feature/saved-search-alerts</x:v>
      </x:c>
      <x:c r="E17" s="141" t="str">
        <x:v>Saved-search management plus bounded overflow-safe matching and leased immutable email delivery, retries and eligibility controls implemented and DB-tested with mock sends; provider/scheduler/mailbox acceptance remain.</x:v>
      </x:c>
      <x:c r="F17" s="141" t="str">
        <x:v>Automated matching/overflow/deduplication and delivered-email acceptance pass with configured provider/scheduler.</x:v>
      </x:c>
      <x:c r="G17" s="141" t="str">
        <x:v>In Progress</x:v>
      </x:c>
    </x:row>
    <x:row r="18">
      <x:c r="A18" s="88" t="str">
        <x:v>4.1</x:v>
      </x:c>
      <x:c r="B18" s="88" t="str">
        <x:v>Stage 4</x:v>
      </x:c>
      <x:c r="C18" s="141" t="str">
        <x:v>Dealer settings and verification</x:v>
      </x:c>
      <x:c r="D18" s="141" t="str">
        <x:v>feature/dealer-administration</x:v>
      </x:c>
      <x:c r="E18" s="141" t="str">
        <x:v>Dealer profile editing/logo and manual verification/revocation work.</x:v>
      </x:c>
      <x:c r="F18" s="141" t="str">
        <x:v>Badge consistency and admin auth pass.</x:v>
      </x:c>
      <x:c r="G18" s="141" t="str">
        <x:v>Completed</x:v>
      </x:c>
    </x:row>
    <x:row r="19">
      <x:c r="A19" s="88" t="str">
        <x:v>4.2</x:v>
      </x:c>
      <x:c r="B19" s="88" t="str">
        <x:v>Stage 4</x:v>
      </x:c>
      <x:c r="C19" s="141" t="str">
        <x:v>Admin listing/user controls</x:v>
      </x:c>
      <x:c r="D19" s="141" t="str">
        <x:v>feature/admin-controls</x:v>
      </x:c>
      <x:c r="E19" s="141" t="str">
        <x:v>Flag/unpublish/edit/reinstate and ban/unban are logged and safe.</x:v>
      </x:c>
      <x:c r="F19" s="141" t="str">
        <x:v>Transition and authorization matrix passes.</x:v>
      </x:c>
      <x:c r="G19" s="141" t="str">
        <x:v>Completed</x:v>
      </x:c>
    </x:row>
    <x:row r="20">
      <x:c r="A20" s="88" t="str">
        <x:v>5.1</x:v>
      </x:c>
      <x:c r="B20" s="88" t="str">
        <x:v>Stage 5</x:v>
      </x:c>
      <x:c r="C20" s="141" t="str">
        <x:v>Inspection request administration</x:v>
      </x:c>
      <x:c r="D20" s="141" t="str">
        <x:v>feature/inspection-admin</x:v>
      </x:c>
      <x:c r="E20" s="141" t="str">
        <x:v>Staff can manage request-based inspection follow-up only.</x:v>
      </x:c>
      <x:c r="F20" s="141" t="str">
        <x:v>Admin workflow tests pass; no workforce scope added.</x:v>
      </x:c>
      <x:c r="G20" s="141" t="str">
        <x:v>Completed</x:v>
      </x:c>
    </x:row>
    <x:row r="21">
      <x:c r="A21" s="88" t="str">
        <x:v>5.2</x:v>
      </x:c>
      <x:c r="B21" s="88" t="str">
        <x:v>Stage 5</x:v>
      </x:c>
      <x:c r="C21" s="141" t="str">
        <x:v>Sell My Car Assistance</x:v>
      </x:c>
      <x:c r="D21" s="141" t="str">
        <x:v>feature/sell-my-car-assistance</x:v>
      </x:c>
      <x:c r="E21" s="141" t="str">
        <x:v>Public request and admin follow-up workflows work.</x:v>
      </x:c>
      <x:c r="F21" s="141" t="str">
        <x:v>Submission, privacy and status tests pass.</x:v>
      </x:c>
      <x:c r="G21" s="141" t="str">
        <x:v>Completed</x:v>
      </x:c>
    </x:row>
    <x:row r="22">
      <x:c r="A22" s="88" t="str">
        <x:v>6.1</x:v>
      </x:c>
      <x:c r="B22" s="88" t="str">
        <x:v>Stage 6</x:v>
      </x:c>
      <x:c r="C22" s="141" t="str">
        <x:v>Legal/content pages</x:v>
      </x:c>
      <x:c r="D22" s="141" t="str">
        <x:v>feature/legal-and-content</x:v>
      </x:c>
      <x:c r="E22" s="141" t="str">
        <x:v>Terms, Privacy, About, Contact and Safety are approved and live.</x:v>
      </x:c>
      <x:c r="F22" s="141" t="str">
        <x:v>Content/link/metadata review passes.</x:v>
      </x:c>
      <x:c r="G22" s="141" t="str">
        <x:v>Completed</x:v>
      </x:c>
    </x:row>
    <x:row r="23">
      <x:c r="A23" s="88" t="str">
        <x:v>6.2</x:v>
      </x:c>
      <x:c r="B23" s="88" t="str">
        <x:v>Stage 6</x:v>
      </x:c>
      <x:c r="C23" s="141" t="str">
        <x:v>CI, automated testing and staging</x:v>
      </x:c>
      <x:c r="D23" s="141" t="str">
        <x:v>codex/launch-quality-system</x:v>
      </x:c>
      <x:c r="E23" s="141" t="str">
        <x:v>8 Oct: independent PR #6 findings repaired and regression coverage expanded. Verify updated-head check/lint/build, 18 DB cases, 101-route sweep and browser suite in PR6_REVIEW_RESPONSE.md. Independent re-review, protected main and persistent staging remain open.</x:v>
      </x:c>
      <x:c r="F23" s="141" t="str">
        <x:v>Deliberate failure blocks merge; staging smoke passes.</x:v>
      </x:c>
      <x:c r="G23" s="141" t="str">
        <x:v>In Progress</x:v>
      </x:c>
      <x:c r="H23" t="str">
        <x:v>Local acceptance backlog verified; new branch CI/review plus live deployment/provider/device/load gates remain.</x:v>
      </x:c>
    </x:row>
    <x:row r="24">
      <x:c r="A24" s="88" t="str">
        <x:v>6.3</x:v>
      </x:c>
      <x:c r="B24" s="88" t="str">
        <x:v>Stage 6</x:v>
      </x:c>
      <x:c r="C24" s="141" t="str">
        <x:v>Production infrastructure and hardening</x:v>
      </x:c>
      <x:c r="D24" s="141" t="str">
        <x:v>codex/production-readiness (planned)</x:v>
      </x:c>
      <x:c r="E24" s="141" t="str">
        <x:v>Approved A/B1 application work includes retention/replay/holds/private media queues, resilient alerts, runtime readiness/errors, action security, 20,000-ad paginated browse benchmark and aggregate operations reporting. Full CI run 49 passed on 1e0a071. Live hosting/DB/media/mail/backups/cron/monitoring, restore drill and final device/security/500-user staging acceptance require owner access; see OWNER_LAUNCH_ACTIONS.md.</x:v>
      </x:c>
      <x:c r="F24" s="141" t="str">
        <x:v>Formal launch checklist has no open critical/high issue.</x:v>
      </x:c>
      <x:c r="G24" s="141" t="str">
        <x:v>In Progress</x:v>
      </x:c>
    </x:row>
  </x:sheetData>
  <x:mergeCells>
    <x:mergeCell ref="A1:G1"/>
    <x:mergeCell ref="A2:G2"/>
  </x:mergeCells>
  <x:pageMargins left="0.7" right="0.7" top="0.75" bottom="0.75" header="0.3" footer="0.3"/>
  <x:tableParts count="1">
    <x:tablePart xmlns:r="http://schemas.openxmlformats.org/officeDocument/2006/relationships" r:id="Re8dfeb112f554f7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20" hidden="0" customWidth="1"/>
    <x:col min="3" max="3" width="42" hidden="0" customWidth="1"/>
    <x:col min="4" max="4" width="26" hidden="0" customWidth="1"/>
    <x:col min="5" max="5" width="18" hidden="0" customWidth="1"/>
    <x:col min="6" max="6" width="22" hidden="0" customWidth="1"/>
    <x:col min="7" max="7" width="38" hidden="0" customWidth="1"/>
    <x:col min="8" max="8" width="46" hidden="0" customWidth="1"/>
  </x:cols>
  <x:sheetData>
    <x:row r="1">
      <x:c r="A1" s="138" t="str">
        <x:v>JaniWheels Master Test Matrix</x:v>
      </x:c>
      <x:c r="B1" s="138"/>
      <x:c r="C1" s="138"/>
      <x:c r="D1" s="138"/>
      <x:c r="E1" s="138"/>
      <x:c r="F1" s="138"/>
      <x:c r="G1" s="138"/>
      <x:c r="H1" s="138"/>
    </x:row>
    <x:row r="2">
      <x:c r="A2" s="139" t="str">
        <x:v>A feature is not complete until its success, validation, authorization, empty/error, responsive and regression cases are passed.</x:v>
      </x:c>
      <x:c r="B2" s="139"/>
      <x:c r="C2" s="139"/>
      <x:c r="D2" s="139"/>
      <x:c r="E2" s="139"/>
      <x:c r="F2" s="139"/>
      <x:c r="G2" s="139"/>
      <x:c r="H2" s="139"/>
    </x:row>
    <x:row r="3">
      <x:c r="A3" s="88"/>
      <x:c r="B3" s="88"/>
      <x:c r="C3" s="88"/>
      <x:c r="D3" s="88"/>
      <x:c r="E3" s="88"/>
      <x:c r="F3" s="88"/>
      <x:c r="G3" s="88"/>
      <x:c r="H3" s="88"/>
    </x:row>
    <x:row r="4">
      <x:c r="A4" s="140" t="str">
        <x:v>Test ID</x:v>
      </x:c>
      <x:c r="B4" s="140" t="str">
        <x:v>Module</x:v>
      </x:c>
      <x:c r="C4" s="140" t="str">
        <x:v>Scenario</x:v>
      </x:c>
      <x:c r="D4" s="140" t="str">
        <x:v>Test Type</x:v>
      </x:c>
      <x:c r="E4" s="140" t="str">
        <x:v>Automation</x:v>
      </x:c>
      <x:c r="F4" s="140" t="str">
        <x:v>Current Result</x:v>
      </x:c>
      <x:c r="G4" s="140" t="str">
        <x:v>Entry Condition</x:v>
      </x:c>
      <x:c r="H4" s="140" t="str">
        <x:v>Expected Result</x:v>
      </x:c>
    </x:row>
    <x:row r="5">
      <x:c r="A5" s="88" t="str">
        <x:v>T-001</x:v>
      </x:c>
      <x:c r="B5" s="88" t="str">
        <x:v>Authentication</x:v>
      </x:c>
      <x:c r="C5" s="141" t="str">
        <x:v>Register valid user</x:v>
      </x:c>
      <x:c r="D5" s="141" t="str">
        <x:v>Integration + E2E</x:v>
      </x:c>
      <x:c r="E5" s="141" t="str">
        <x:v>Desktop/mobile Chromium registration, captured verification link and isolated DB/session assertions</x:v>
      </x:c>
      <x:c r="F5" s="141" t="str">
        <x:v>Passed: unverified user cannot sign in; one-use verification link activates account and permits sign-in; expired link fails</x:v>
      </x:c>
      <x:c r="G5" s="141" t="str">
        <x:v>Clean DB and valid unique data</x:v>
      </x:c>
      <x:c r="H5" s="141" t="str">
        <x:v>User created without session; verified email required before sign-in</x:v>
      </x:c>
    </x:row>
    <x:row r="6">
      <x:c r="A6" s="88" t="str">
        <x:v>T-002</x:v>
      </x:c>
      <x:c r="B6" s="88" t="str">
        <x:v>Authentication</x:v>
      </x:c>
      <x:c r="C6" s="141" t="str">
        <x:v>Reject invalid/duplicate registration</x:v>
      </x:c>
      <x:c r="D6" s="141" t="str">
        <x:v>Integration</x:v>
      </x:c>
      <x:c r="E6" s="141" t="str">
        <x:v>Desktop/mobile Chromium duplicate and malformed account cases, including direct malformed-email action and DB no-user assertion</x:v>
      </x:c>
      <x:c r="F6" s="141" t="str">
        <x:v>Local pass for duplicate, short name/password and direct malformed email; malformed phone/provider acceptance still open</x:v>
      </x:c>
      <x:c r="G6" s="141" t="str">
        <x:v>Existing account and malformed inputs</x:v>
      </x:c>
      <x:c r="H6" s="141" t="str">
        <x:v>Safe field errors; no duplicate user</x:v>
      </x:c>
    </x:row>
    <x:row r="7">
      <x:c r="A7" s="88" t="str">
        <x:v>T-003</x:v>
      </x:c>
      <x:c r="B7" s="88" t="str">
        <x:v>Authentication</x:v>
      </x:c>
      <x:c r="C7" s="141" t="str">
        <x:v>Login valid/invalid/banned user</x:v>
      </x:c>
      <x:c r="D7" s="141" t="str">
        <x:v>Security + E2E</x:v>
      </x:c>
      <x:c r="E7" s="141" t="str">
        <x:v>Desktop/mobile Chromium valid/invalid/banned/unverified login, DB sessions and repeated-failure retry limit; atomic DB concurrency check</x:v>
      </x:c>
      <x:c r="F7" s="141" t="str">
        <x:v>Passed: only valid active users get sessions; repeated failures show a 15-minute retry limit in both viewports</x:v>
      </x:c>
      <x:c r="G7" s="141" t="str">
        <x:v>Users in each state</x:v>
      </x:c>
      <x:c r="H7" s="141" t="str">
        <x:v>Only valid active user gets session</x:v>
      </x:c>
    </x:row>
    <x:row r="8">
      <x:c r="A8" s="88" t="str">
        <x:v>T-004</x:v>
      </x:c>
      <x:c r="B8" s="88" t="str">
        <x:v>Authentication</x:v>
      </x:c>
      <x:c r="C8" s="141" t="str">
        <x:v>Logout and expired/tampered session</x:v>
      </x:c>
      <x:c r="D8" s="141" t="str">
        <x:v>Integration + Security</x:v>
      </x:c>
      <x:c r="E8" s="141" t="str">
        <x:v>Desktop/mobile browser: logout revokes DB session; replayed, expired and tampered cookies cannot reopen seller dashboard.</x:v>
      </x:c>
      <x:c r="F8" s="141" t="str">
        <x:v>Local pass (desktop/mobile); live session configuration pending deployment acceptance.</x:v>
      </x:c>
      <x:c r="G8" s="141" t="str">
        <x:v>Active/expired/tampered tokens</x:v>
      </x:c>
      <x:c r="H8" s="141" t="str">
        <x:v>Session invalidated or rejected</x:v>
      </x:c>
    </x:row>
    <x:row r="9">
      <x:c r="A9" s="88" t="str">
        <x:v>T-005</x:v>
      </x:c>
      <x:c r="B9" s="88" t="str">
        <x:v>Authentication</x:v>
      </x:c>
      <x:c r="C9" s="141" t="str">
        <x:v>Password reset token lifecycle</x:v>
      </x:c>
      <x:c r="D9" s="141" t="str">
        <x:v>Security + E2E</x:v>
      </x:c>
      <x:c r="E9" s="141" t="str">
        <x:v>Desktop/mobile Chromium reset link, isolated DB token/session assertions and invalid-token lifecycle</x:v>
      </x:c>
      <x:c r="F9" s="141" t="str">
        <x:v>Passed: hashed single-use token, expiry denial, session revocation, old-password denial and new-password sign-in</x:v>
      </x:c>
      <x:c r="G9" s="141" t="str">
        <x:v>Reset feature complete</x:v>
      </x:c>
      <x:c r="H9" s="141" t="str">
        <x:v>Single-use expiry and session revocation work</x:v>
      </x:c>
    </x:row>
    <x:row r="10">
      <x:c r="A10" s="88" t="str">
        <x:v>T-006</x:v>
      </x:c>
      <x:c r="B10" s="88" t="str">
        <x:v>Authorization</x:v>
      </x:c>
      <x:c r="C10" s="141" t="str">
        <x:v>Cross-user listing/media access</x:v>
      </x:c>
      <x:c r="D10" s="141" t="str">
        <x:v>Security integration</x:v>
      </x:c>
      <x:c r="E10" s="141" t="str">
        <x:v>Desktop/mobile listing and media authorization, local image GET/HEAD and optimizer checks; owner edit preview is scrolled into view before lazy-image load assertion</x:v>
      </x:c>
      <x:c r="F10" s="141" t="str">
        <x:v>Local pass: private reads denied and active photos public; media authorization 2/2 after lazy-image fixture repair. Cloudflare private delivery remains pending.</x:v>
      </x:c>
      <x:c r="G10" s="141" t="str">
        <x:v>Two users with listings/uploads</x:v>
      </x:c>
      <x:c r="H10" s="141" t="str">
        <x:v>Every unauthorized read/write is denied</x:v>
      </x:c>
    </x:row>
    <x:row r="11">
      <x:c r="A11" s="88" t="str">
        <x:v>T-007</x:v>
      </x:c>
      <x:c r="B11" s="88" t="str">
        <x:v>Listings</x:v>
      </x:c>
      <x:c r="C11" s="141" t="str">
        <x:v>Create car with all required/optional fields</x:v>
      </x:c>
      <x:c r="D11" s="141" t="str">
        <x:v>Integration + E2E</x:v>
      </x:c>
      <x:c r="E11" s="141" t="str">
        <x:v>Desktop/mobile Chromium publication with photo</x:v>
      </x:c>
      <x:c r="F11" s="141" t="str">
        <x:v>Passed: active car and detail redirect; optional-field boundaries remain open</x:v>
      </x:c>
      <x:c r="G11" s="141" t="str">
        <x:v>Seeded taxonomy and upload provider</x:v>
      </x:c>
      <x:c r="H11" s="141" t="str">
        <x:v>Correct active car and related rows created atomically</x:v>
      </x:c>
    </x:row>
    <x:row r="12">
      <x:c r="A12" s="88" t="str">
        <x:v>T-008</x:v>
      </x:c>
      <x:c r="B12" s="88" t="str">
        <x:v>Listings</x:v>
      </x:c>
      <x:c r="C12" s="141" t="str">
        <x:v>Car validation boundaries/tampering</x:v>
      </x:c>
      <x:c r="D12" s="141" t="str">
        <x:v>Unit + Integration</x:v>
      </x:c>
      <x:c r="E12" s="141" t="str">
        <x:v>Seller schema boundaries plus direct forged/inactive car and bike taxonomy edits in desktop/mobile Chromium</x:v>
      </x:c>
      <x:c r="F12" s="141" t="str">
        <x:v>Local boundary and taxonomy tampering pass; broader live input/provider matrix remains open</x:v>
      </x:c>
      <x:c r="G12" s="141" t="str">
        <x:v>Invalid IDs, price, year, mileage, images</x:v>
      </x:c>
      <x:c r="H12" s="141" t="str">
        <x:v>Submission rejected with clear messages</x:v>
      </x:c>
    </x:row>
    <x:row r="13">
      <x:c r="A13" s="88" t="str">
        <x:v>T-009</x:v>
      </x:c>
      <x:c r="B13" s="88" t="str">
        <x:v>Listings</x:v>
      </x:c>
      <x:c r="C13" s="141" t="str">
        <x:v>Instant publication by seller/dealer type</x:v>
      </x:c>
      <x:c r="D13" s="141" t="str">
        <x:v>Integration</x:v>
      </x:c>
      <x:c r="E13" s="141" t="str">
        <x:v>Automated checks</x:v>
      </x:c>
      <x:c r="F13" s="141" t="str">
        <x:v>Passed</x:v>
      </x:c>
      <x:c r="G13" s="141" t="str">
        <x:v>Individual/unverified/verified dealer</x:v>
      </x:c>
      <x:c r="H13" s="141" t="str">
        <x:v>All valid listings publish per locked rule</x:v>
      </x:c>
    </x:row>
    <x:row r="14">
      <x:c r="A14" s="88" t="str">
        <x:v>T-010</x:v>
      </x:c>
      <x:c r="B14" s="88" t="str">
        <x:v>Listings</x:v>
      </x:c>
      <x:c r="C14" s="141" t="str">
        <x:v>Create bike end to end</x:v>
      </x:c>
      <x:c r="D14" s="141" t="str">
        <x:v>Integration + E2E</x:v>
      </x:c>
      <x:c r="E14" s="141" t="str">
        <x:v>Desktop/mobile Chromium publication with photo</x:v>
      </x:c>
      <x:c r="F14" s="141" t="str">
        <x:v>Passed: active bike and detail redirect; electric path remains open</x:v>
      </x:c>
      <x:c r="G14" s="141" t="str">
        <x:v>Bike CRUD complete</x:v>
      </x:c>
      <x:c r="H14" s="141" t="str">
        <x:v>Correct bike detail and search facets</x:v>
      </x:c>
    </x:row>
    <x:row r="15">
      <x:c r="A15" s="88" t="str">
        <x:v>T-011</x:v>
      </x:c>
      <x:c r="B15" s="88" t="str">
        <x:v>Listings</x:v>
      </x:c>
      <x:c r="C15" s="141" t="str">
        <x:v>Create parts end to end</x:v>
      </x:c>
      <x:c r="D15" s="141" t="str">
        <x:v>Integration + E2E</x:v>
      </x:c>
      <x:c r="E15" s="141" t="str">
        <x:v>Desktop/mobile Chromium publication with photo</x:v>
      </x:c>
      <x:c r="F15" s="141" t="str">
        <x:v>Passed: active part and detail redirect; fitment cases remain open</x:v>
      </x:c>
      <x:c r="G15" s="141" t="str">
        <x:v>Parts CRUD complete</x:v>
      </x:c>
      <x:c r="H15" s="141" t="str">
        <x:v>Correct classified part without commerce fields</x:v>
      </x:c>
    </x:row>
    <x:row r="16">
      <x:c r="A16" s="88" t="str">
        <x:v>T-012</x:v>
      </x:c>
      <x:c r="B16" s="88" t="str">
        <x:v>Listings</x:v>
      </x:c>
      <x:c r="C16" s="141" t="str">
        <x:v>Edit listing and resync facets/slug</x:v>
      </x:c>
      <x:c r="D16" s="141" t="str">
        <x:v>Integration + SEO</x:v>
      </x:c>
      <x:c r="E16" s="141" t="str">
        <x:v>Reciprocal admin-owned approve and reinstate with forced listing barrier and exactly one audit; reciprocal authenticated reporters at threshold and duplicate retry; admin/report/edit closure forced schedules and account lifecycle</x:v>
      </x:c>
      <x:c r="F16" s="141" t="str">
        <x:v>Local pass: reciprocal admin/report 8/8 and closure 16/16 desktop/mobile; 19/19 DB, 101 routes, check/lint/build. Both admin decisions and reports commit without unexpected Flight error. CI 62 stopped on alert retry test timing race; corrected and isolated DB 19/19 pass. Replacement CI/re-review pending.</x:v>
      </x:c>
      <x:c r="G16" s="141" t="str">
        <x:v>Edit flow complete</x:v>
      </x:c>
      <x:c r="H16" s="141" t="str">
        <x:v>Owner edit persists and canonical redirect works</x:v>
      </x:c>
    </x:row>
    <x:row r="17">
      <x:c r="A17" s="88" t="str">
        <x:v>T-013</x:v>
      </x:c>
      <x:c r="B17" s="88" t="str">
        <x:v>Listings</x:v>
      </x:c>
      <x:c r="C17" s="141" t="str">
        <x:v>Delete listing and related data/media</x:v>
      </x:c>
      <x:c r="D17" s="141" t="str">
        <x:v>Integration + Security</x:v>
      </x:c>
      <x:c r="E17" s="141" t="str">
        <x:v>Desktop/mobile seller deletion plus atomic ledger receipt, pre-delete backup replay repeated twice, retained evidence and anonymous/admin media authorization.</x:v>
      </x:c>
      <x:c r="F17" s="141" t="str">
        <x:v>Regression covers public detail/media denial after replay and retained private photos for approved retention/admin evidence access.</x:v>
      </x:c>
      <x:c r="G17" s="141" t="str">
        <x:v>Delete policy complete</x:v>
      </x:c>
      <x:c r="H17" s="141" t="str">
        <x:v>Only owner/admin deletes; visibility/media follow policy</x:v>
      </x:c>
    </x:row>
    <x:row r="18">
      <x:c r="A18" s="88" t="str">
        <x:v>T-014</x:v>
      </x:c>
      <x:c r="B18" s="88" t="str">
        <x:v>Listings</x:v>
      </x:c>
      <x:c r="C18" s="141" t="str">
        <x:v>Mark sold and expiry lifecycle</x:v>
      </x:c>
      <x:c r="D18" s="141" t="str">
        <x:v>Integration</x:v>
      </x:c>
      <x:c r="E18" s="141" t="str">
        <x:v>Desktop/mobile expiry cron, due/future fixtures, direct reactivation replay and owner positive control</x:v>
      </x:c>
      <x:c r="F18" s="141" t="str">
        <x:v>Local pass: cron auth, expiry selection, owner-only fresh 30-day window and active/rejected/removed no-op checked; complete live search/contact/SEO lifecycle and scheduler remain</x:v>
      </x:c>
      <x:c r="G18" s="141" t="str">
        <x:v>Active listing and cron secret</x:v>
      </x:c>
      <x:c r="H18" s="141" t="str">
        <x:v>Search/contact/SEO states update correctly</x:v>
      </x:c>
    </x:row>
    <x:row r="19">
      <x:c r="A19" s="88" t="str">
        <x:v>T-015</x:v>
      </x:c>
      <x:c r="B19" s="88" t="str">
        <x:v>Listings</x:v>
      </x:c>
      <x:c r="C19" s="141" t="str">
        <x:v>Inactive listing direct URL exposure</x:v>
      </x:c>
      <x:c r="D19" s="141" t="str">
        <x:v>Security E2E</x:v>
      </x:c>
      <x:c r="E19" s="141" t="str">
        <x:v>Automated checks</x:v>
      </x:c>
      <x:c r="F19" s="141" t="str">
        <x:v>Passed</x:v>
      </x:c>
      <x:c r="G19" s="141" t="str">
        <x:v>Listings in every non-active status</x:v>
      </x:c>
      <x:c r="H19" s="141" t="str">
        <x:v>Public gets approved 404/gone state; owner/admin rules hold</x:v>
      </x:c>
    </x:row>
    <x:row r="20">
      <x:c r="A20" s="88" t="str">
        <x:v>T-016</x:v>
      </x:c>
      <x:c r="B20" s="88" t="str">
        <x:v>Media</x:v>
      </x:c>
      <x:c r="C20" s="141" t="str">
        <x:v>Upload valid images and enforce size/count</x:v>
      </x:c>
      <x:c r="D20" s="141" t="str">
        <x:v>Integration</x:v>
      </x:c>
      <x:c r="E20" s="141" t="str">
        <x:v>Desktop/mobile six-photo upload in two bounded batches; direct six-file HTTP rejection; local ten-MiB and stream body-cap checks</x:v>
      </x:c>
      <x:c r="F20" s="141" t="str">
        <x:v>Local pass: six valid images stored; &gt;5/request and &gt;10 MiB/file rejected, body cap enforced without Content-Length. Live provider/edge limits open</x:v>
      </x:c>
      <x:c r="G20" s="141" t="str">
        <x:v>Representative image fixtures</x:v>
      </x:c>
      <x:c r="H20" s="141" t="str">
        <x:v>Valid stored; invalid rejected; limits enforced</x:v>
      </x:c>
    </x:row>
    <x:row r="21">
      <x:c r="A21" s="88" t="str">
        <x:v>T-017</x:v>
      </x:c>
      <x:c r="B21" s="88" t="str">
        <x:v>Media</x:v>
      </x:c>
      <x:c r="C21" s="141" t="str">
        <x:v>MIME spoof/malicious file rejection</x:v>
      </x:c>
      <x:c r="D21" s="141" t="str">
        <x:v>Security</x:v>
      </x:c>
      <x:c r="E21" s="141" t="str">
        <x:v>Local upload checks reject fake JPEG, disguised SVG, oversized file and unsafe key; re-encode strips trailing script bytes</x:v>
      </x:c>
      <x:c r="F21" s="141" t="str">
        <x:v>Local pass for covered malicious fixtures; live Cloudflare lifecycle and broader adversarial matrix open</x:v>
      </x:c>
      <x:c r="G21" s="141" t="str">
        <x:v>SVG/executable/polyglot fixtures</x:v>
      </x:c>
      <x:c r="H21" s="141" t="str">
        <x:v>No malicious content stored/served</x:v>
      </x:c>
    </x:row>
    <x:row r="22">
      <x:c r="A22" s="88" t="str">
        <x:v>T-018</x:v>
      </x:c>
      <x:c r="B22" s="88" t="str">
        <x:v>Media</x:v>
      </x:c>
      <x:c r="C22" s="141" t="str">
        <x:v>Cross-user storage key attachment</x:v>
      </x:c>
      <x:c r="D22" s="141" t="str">
        <x:v>Security integration</x:v>
      </x:c>
      <x:c r="E22" s="141" t="str">
        <x:v>Real database rollback and desktop/mobile captured publish/edit HTTP requests replayed with another user's unclaimed key, followed by valid-owner positive controls</x:v>
      </x:c>
      <x:c r="F22" s="141" t="str">
        <x:v>Local pass: foreign publish creates no listing or claim; foreign edit preserves listing images; original owner payload succeeds. Production/provider acceptance remains.</x:v>
      </x:c>
      <x:c r="G22" s="141" t="str">
        <x:v>Ownership binding implemented</x:v>
      </x:c>
      <x:c r="H22" s="141" t="str">
        <x:v>User B cannot attach User A upload</x:v>
      </x:c>
    </x:row>
    <x:row r="23">
      <x:c r="A23" s="88" t="str">
        <x:v>T-019</x:v>
      </x:c>
      <x:c r="B23" s="88" t="str">
        <x:v>Search</x:v>
      </x:c>
      <x:c r="C23" s="141" t="str">
        <x:v>All car filters and combinations</x:v>
      </x:c>
      <x:c r="D23" s="141" t="str">
        <x:v>DB integration</x:v>
      </x:c>
      <x:c r="E23" s="141" t="str">
        <x:v>Seeded SQL oracle plus owned local/imported contrast pair; exact car IDs/counts and combinations. Disabling assembly predicate makes car acceptance fail.</x:v>
      </x:c>
      <x:c r="F23" s="141" t="str">
        <x:v>Local pass with contrasting assembly fixture and mutation challenge; live inventory/search acceptance pending.</x:v>
      </x:c>
      <x:c r="G23" s="141" t="str">
        <x:v>Seeded deterministic listings</x:v>
      </x:c>
      <x:c r="H23" s="141" t="str">
        <x:v>Exact result IDs/counts and canonical decisions</x:v>
      </x:c>
    </x:row>
    <x:row r="24">
      <x:c r="A24" s="88" t="str">
        <x:v>T-020</x:v>
      </x:c>
      <x:c r="B24" s="88" t="str">
        <x:v>Search</x:v>
      </x:c>
      <x:c r="C24" s="141" t="str">
        <x:v>All bike filters and combinations</x:v>
      </x:c>
      <x:c r="D24" s="141" t="str">
        <x:v>DB integration</x:v>
      </x:c>
      <x:c r="E24" s="141" t="str">
        <x:v>Seeded SQL oracle plus owned petrol/electric contrast pair; exact bike IDs/counts and combinations. Disabling fuel predicate makes bike acceptance fail.</x:v>
      </x:c>
      <x:c r="F24" s="141" t="str">
        <x:v>Local pass with contrasting fuel fixture and mutation challenge; live inventory/search acceptance pending.</x:v>
      </x:c>
      <x:c r="G24" s="141" t="str">
        <x:v>Seeded bike listings</x:v>
      </x:c>
      <x:c r="H24" s="141" t="str">
        <x:v>Exact result IDs/counts</x:v>
      </x:c>
    </x:row>
    <x:row r="25">
      <x:c r="A25" s="88" t="str">
        <x:v>T-021</x:v>
      </x:c>
      <x:c r="B25" s="88" t="str">
        <x:v>Search</x:v>
      </x:c>
      <x:c r="C25" s="141" t="str">
        <x:v>Parts category and condition filters</x:v>
      </x:c>
      <x:c r="D25" s="141" t="str">
        <x:v>DB integration</x:v>
      </x:c>
      <x:c r="E25" s="141" t="str">
        <x:v>DB integration checks</x:v>
      </x:c>
      <x:c r="F25" s="141" t="str">
        <x:v>Passed</x:v>
      </x:c>
      <x:c r="G25" s="141" t="str">
        <x:v>Parts in multiple categories/conditions</x:v>
      </x:c>
      <x:c r="H25" s="141" t="str">
        <x:v>Only matching parts returned</x:v>
      </x:c>
    </x:row>
    <x:row r="26">
      <x:c r="A26" s="88" t="str">
        <x:v>T-022</x:v>
      </x:c>
      <x:c r="B26" s="88" t="str">
        <x:v>Search</x:v>
      </x:c>
      <x:c r="C26" s="141" t="str">
        <x:v>Sorting and stable pagination</x:v>
      </x:c>
      <x:c r="D26" s="141" t="str">
        <x:v>DB integration</x:v>
      </x:c>
      <x:c r="E26" s="141" t="str">
        <x:v>Seeded DB integration: every supported car/bike/part sort over three pages; exact IDs, totals, page counts and no duplicates.</x:v>
      </x:c>
      <x:c r="F26" s="141" t="str">
        <x:v>Local pass; production-scale/load acceptance pending.</x:v>
      </x:c>
      <x:c r="G26" s="141" t="str">
        <x:v>More than 50 deterministic rows</x:v>
      </x:c>
      <x:c r="H26" s="141" t="str">
        <x:v>No duplicates/missing rows; correct order</x:v>
      </x:c>
    </x:row>
    <x:row r="27">
      <x:c r="A27" s="88" t="str">
        <x:v>T-023</x:v>
      </x:c>
      <x:c r="B27" s="88" t="str">
        <x:v>Search</x:v>
      </x:c>
      <x:c r="C27" s="141" t="str">
        <x:v>Unknown/reordered facet URLs</x:v>
      </x:c>
      <x:c r="D27" s="141" t="str">
        <x:v>SEO unit + E2E</x:v>
      </x:c>
      <x:c r="E27" s="141" t="str">
        <x:v>Desktop/mobile browser: reordered city/facet URLs redirect 308 to canonical car/bike/part paths with query preserved; unknown facets 404.</x:v>
      </x:c>
      <x:c r="F27" s="141" t="str">
        <x:v>Local pass; production HTTPS/canonical acceptance pending.</x:v>
      </x:c>
      <x:c r="G27" s="141" t="str">
        <x:v>Facet cases</x:v>
      </x:c>
      <x:c r="H27" s="141" t="str">
        <x:v>Unknown 404; reordered canonical redirect</x:v>
      </x:c>
    </x:row>
    <x:row r="28">
      <x:c r="A28" s="88" t="str">
        <x:v>T-024</x:v>
      </x:c>
      <x:c r="B28" s="88" t="str">
        <x:v>Detail</x:v>
      </x:c>
      <x:c r="C28" s="141" t="str">
        <x:v>Cars/bikes/parts detail rendering</x:v>
      </x:c>
      <x:c r="D28" s="141" t="str">
        <x:v>E2E</x:v>
      </x:c>
      <x:c r="E28" s="141" t="str">
        <x:v>Desktop/mobile browser: each project owns seller, listing, vertical detail and WebP. Title, canonical, actual spec value and decoded media pass twice with 2 workers.</x:v>
      </x:c>
      <x:c r="F28" s="141" t="str">
        <x:v>Local pass with parallel-safe owned fixtures; live image provider and real-device acceptance pending.</x:v>
      </x:c>
      <x:c r="G28" s="141" t="str">
        <x:v>Representative listing each vertical</x:v>
      </x:c>
      <x:c r="H28" s="141" t="str">
        <x:v>Correct content, metadata, images and specs</x:v>
      </x:c>
    </x:row>
    <x:row r="29">
      <x:c r="A29" s="88" t="str">
        <x:v>T-025</x:v>
      </x:c>
      <x:c r="B29" s="88" t="str">
        <x:v>Contact</x:v>
      </x:c>
      <x:c r="C29" s="141" t="str">
        <x:v>Phone reveal active/inactive</x:v>
      </x:c>
      <x:c r="D29" s="141" t="str">
        <x:v>Integration + E2E</x:v>
      </x:c>
      <x:c r="E29" s="141" t="str">
        <x:v>Active buyer reveal/lead logging, inactive rejection and captured action replay after owner ban. Safe handled-error marker regression.</x:v>
      </x:c>
      <x:c r="F29" s="141" t="str">
        <x:v>Active reveal remains available; inactive/banned owners cannot disclose phone. Raw query/message/parameters excluded from handled error logs.</x:v>
      </x:c>
      <x:c r="G29" s="141" t="str">
        <x:v>Active and inactive listings</x:v>
      </x:c>
      <x:c r="H29" s="141" t="str">
        <x:v>Active reveals/logs; inactive rejects</x:v>
      </x:c>
    </x:row>
    <x:row r="30">
      <x:c r="A30" s="88" t="str">
        <x:v>T-026</x:v>
      </x:c>
      <x:c r="B30" s="88" t="str">
        <x:v>Contact</x:v>
      </x:c>
      <x:c r="C30" s="141" t="str">
        <x:v>WhatsApp action and lead logging</x:v>
      </x:c>
      <x:c r="D30" s="141" t="str">
        <x:v>E2E + Integration</x:v>
      </x:c>
      <x:c r="E30" s="141" t="str">
        <x:v>Not available</x:v>
      </x:c>
      <x:c r="F30" s="141" t="str">
        <x:v>Blocked by feature</x:v>
      </x:c>
      <x:c r="G30" s="141" t="str">
        <x:v>WhatsApp UI complete</x:v>
      </x:c>
      <x:c r="H30" s="141" t="str">
        <x:v>Correct wa.me link and event</x:v>
      </x:c>
    </x:row>
    <x:row r="31">
      <x:c r="A31" s="88" t="str">
        <x:v>T-027</x:v>
      </x:c>
      <x:c r="B31" s="88" t="str">
        <x:v>Buyer</x:v>
      </x:c>
      <x:c r="C31" s="141" t="str">
        <x:v>Favourite add/remove/ownership</x:v>
      </x:c>
      <x:c r="D31" s="141" t="str">
        <x:v>Integration + E2E</x:v>
      </x:c>
      <x:c r="E31" s="141" t="str">
        <x:v>Automated checks</x:v>
      </x:c>
      <x:c r="F31" s="141" t="str">
        <x:v>Passed; final browser QA deferred</x:v>
      </x:c>
      <x:c r="G31" s="141" t="str">
        <x:v>Favourites complete</x:v>
      </x:c>
      <x:c r="H31" s="141" t="str">
        <x:v>Idempotent owner-specific state</x:v>
      </x:c>
    </x:row>
    <x:row r="32">
      <x:c r="A32" s="88" t="str">
        <x:v>T-028</x:v>
      </x:c>
      <x:c r="B32" s="88" t="str">
        <x:v>Buyer</x:v>
      </x:c>
      <x:c r="C32" s="141" t="str">
        <x:v>Recent views anonymous/account/stale</x:v>
      </x:c>
      <x:c r="D32" s="141" t="str">
        <x:v>E2E</x:v>
      </x:c>
      <x:c r="E32" s="141" t="str">
        <x:v>Automated checks</x:v>
      </x:c>
      <x:c r="F32" s="141" t="str">
        <x:v>Passed; final browser QA deferred</x:v>
      </x:c>
      <x:c r="G32" s="141" t="str">
        <x:v>Recent-view feature complete</x:v>
      </x:c>
      <x:c r="H32" s="141" t="str">
        <x:v>Correct ordering, merge and privacy</x:v>
      </x:c>
    </x:row>
    <x:row r="33">
      <x:c r="A33" s="88" t="str">
        <x:v>T-029</x:v>
      </x:c>
      <x:c r="B33" s="88" t="str">
        <x:v>Buyer</x:v>
      </x:c>
      <x:c r="C33" s="141" t="str">
        <x:v>Comparison compatibility and limit</x:v>
      </x:c>
      <x:c r="D33" s="141" t="str">
        <x:v>Unit + E2E</x:v>
      </x:c>
      <x:c r="E33" s="141" t="str">
        <x:v>Automated checks</x:v>
      </x:c>
      <x:c r="F33" s="141" t="str">
        <x:v>Passed; final responsive QA deferred</x:v>
      </x:c>
      <x:c r="G33" s="141" t="str">
        <x:v>Compare complete</x:v>
      </x:c>
      <x:c r="H33" s="141" t="str">
        <x:v>Only 2-3 compatible valid listings</x:v>
      </x:c>
    </x:row>
    <x:row r="34">
      <x:c r="A34" s="88" t="str">
        <x:v>T-030</x:v>
      </x:c>
      <x:c r="B34" s="88" t="str">
        <x:v>Buyer</x:v>
      </x:c>
      <x:c r="C34" s="141" t="str">
        <x:v>Saved search replay and alert matching</x:v>
      </x:c>
      <x:c r="D34" s="141" t="str">
        <x:v>Integration</x:v>
      </x:c>
      <x:c r="E34" s="141" t="str">
        <x:v>Isolated DB overflow/dedupe/retry/concurrency, closure replay suppression and banned listing owner versus separate buyer. Local transport mocks; live provider/scheduler remain.</x:v>
      </x:c>
      <x:c r="F34" s="141" t="str">
        <x:v>Local DB delivery/matching acceptance passes, including cancelled alerts and banned inventory. Live email delivery/mailbox acceptance pending.</x:v>
      </x:c>
      <x:c r="G34" s="141" t="str">
        <x:v>Deployment owner configures live email provider/scheduler and mailbox acceptance.</x:v>
      </x:c>
      <x:c r="H34" s="141" t="str">
        <x:v>Exact filters, no duplicate alerts</x:v>
      </x:c>
    </x:row>
    <x:row r="35">
      <x:c r="A35" s="88" t="str">
        <x:v>T-031</x:v>
      </x:c>
      <x:c r="B35" s="88" t="str">
        <x:v>Dealer</x:v>
      </x:c>
      <x:c r="C35" s="141" t="str">
        <x:v>Register dealer and unique slug</x:v>
      </x:c>
      <x:c r="D35" s="141" t="str">
        <x:v>Integration + E2E</x:v>
      </x:c>
      <x:c r="E35" s="141" t="str">
        <x:v>Authenticated desktop/mobile registration: different owners contend on same slug with exact B-to-A PostgreSQL wait; same account submits same/different names concurrently behind owner lock. Both responses handled, first permanent profile preserved, exactly one profile per account, no duplicate on revisit.</x:v>
      </x:c>
      <x:c r="F35" s="141" t="str">
        <x:v>Local pass on forced exact lock schedules; new-head independent review and live operational acceptance pending.</x:v>
      </x:c>
      <x:c r="G35" s="141" t="str">
        <x:v>Authenticated individual</x:v>
      </x:c>
      <x:c r="H35" s="141" t="str">
        <x:v>Dealer/user type created exactly once</x:v>
      </x:c>
    </x:row>
    <x:row r="36">
      <x:c r="A36" s="88" t="str">
        <x:v>T-032</x:v>
      </x:c>
      <x:c r="B36" s="88" t="str">
        <x:v>Dealer</x:v>
      </x:c>
      <x:c r="C36" s="141" t="str">
        <x:v>Storefront visibility and counts</x:v>
      </x:c>
      <x:c r="D36" s="141" t="str">
        <x:v>DB integration + E2E</x:v>
      </x:c>
      <x:c r="E36" s="141" t="str">
        <x:v>Desktop/mobile deterministic dealer fixture with 26 active and four inactive listings; pagination, counts, invalid page and banned owner checks</x:v>
      </x:c>
      <x:c r="F36" s="141" t="str">
        <x:v>Passed local: correct 26 total, disjoint 25+1 pages, inactive detail 404 and banned storefront/directory exclusion</x:v>
      </x:c>
      <x:c r="G36" s="141" t="str">
        <x:v>Mixed dealer listing states</x:v>
      </x:c>
      <x:c r="H36" s="141" t="str">
        <x:v>Only active inventory and accurate counts</x:v>
      </x:c>
    </x:row>
    <x:row r="37">
      <x:c r="A37" s="88" t="str">
        <x:v>T-033</x:v>
      </x:c>
      <x:c r="B37" s="88" t="str">
        <x:v>Dealer</x:v>
      </x:c>
      <x:c r="C37" s="141" t="str">
        <x:v>Verification grant/revoke and badges</x:v>
      </x:c>
      <x:c r="D37" s="141" t="str">
        <x:v>Security + E2E</x:v>
      </x:c>
      <x:c r="E37" s="141" t="str">
        <x:v>Dealer/service authorization retained; direct admin decision tampering and three concurrent removal replays</x:v>
      </x:c>
      <x:c r="F37" s="141" t="str">
        <x:v>Local desktop/mobile negatives preserve state; authorized concurrent removal yields one audit; independent/live security acceptance remains</x:v>
      </x:c>
      <x:c r="G37" s="141" t="str">
        <x:v>Verification admin complete</x:v>
      </x:c>
      <x:c r="H37" s="141" t="str">
        <x:v>Only admin changes status; all badges sync</x:v>
      </x:c>
    </x:row>
    <x:row r="38">
      <x:c r="A38" s="88" t="str">
        <x:v>T-034</x:v>
      </x:c>
      <x:c r="B38" s="88" t="str">
        <x:v>Inspection</x:v>
      </x:c>
      <x:c r="C38" s="141" t="str">
        <x:v>Submit request with/without listing</x:v>
      </x:c>
      <x:c r="D38" s="141" t="str">
        <x:v>Integration + E2E</x:v>
      </x:c>
      <x:c r="E38" s="141" t="str">
        <x:v>Desktop/mobile Chromium standalone and car-linked requests, sign-in continuity, forged-reference rejection, DB link and initial event</x:v>
      </x:c>
      <x:c r="F38" s="141" t="str">
        <x:v>Passed: valid listing link persists with request/event; forged and unavailable IDs fail without a request</x:v>
      </x:c>
      <x:c r="G38" s="141" t="str">
        <x:v>Signed-in user and cities</x:v>
      </x:c>
      <x:c r="H38" s="141" t="str">
        <x:v>Request/reference stored correctly</x:v>
      </x:c>
    </x:row>
    <x:row r="39">
      <x:c r="A39" s="88" t="str">
        <x:v>T-035</x:v>
      </x:c>
      <x:c r="B39" s="88" t="str">
        <x:v>Inspection</x:v>
      </x:c>
      <x:c r="C39" s="141" t="str">
        <x:v>Admin updates request lifecycle</x:v>
      </x:c>
      <x:c r="D39" s="141" t="str">
        <x:v>Security + E2E</x:v>
      </x:c>
      <x:c r="E39" s="141" t="str">
        <x:v>Desktop/mobile browser: every inspection intermediate transition through completion; DB status, append-only admin audit, customer history and private-note exclusion. Existing negative/authz checks retained.</x:v>
      </x:c>
      <x:c r="F39" s="141" t="str">
        <x:v>Local lifecycle pass; live service operations acceptance pending.</x:v>
      </x:c>
      <x:c r="G39" s="141" t="str">
        <x:v>Inspection admin complete</x:v>
      </x:c>
      <x:c r="H39" s="141" t="str">
        <x:v>Only admin updates valid transitions</x:v>
      </x:c>
    </x:row>
    <x:row r="40">
      <x:c r="A40" s="88" t="str">
        <x:v>T-036</x:v>
      </x:c>
      <x:c r="B40" s="88" t="str">
        <x:v>Sell Assistance</x:v>
      </x:c>
      <x:c r="C40" s="141" t="str">
        <x:v>Submit/manage Sell My Car request</x:v>
      </x:c>
      <x:c r="D40" s="141" t="str">
        <x:v>Integration + E2E</x:v>
      </x:c>
      <x:c r="E40" s="141" t="str">
        <x:v>Desktop/mobile browser: every assistance intermediate transition through sold, including follow-up back to ad_live; DB status, append-only admin audit, customer history and private-note exclusion. Existing negative/authz checks retained.</x:v>
      </x:c>
      <x:c r="F40" s="141" t="str">
        <x:v>Local lifecycle pass; live service operations acceptance pending.</x:v>
      </x:c>
      <x:c r="G40" s="141" t="str">
        <x:v>Public/admin flows complete</x:v>
      </x:c>
      <x:c r="H40" s="141" t="str">
        <x:v>Valid request and auditable follow-up</x:v>
      </x:c>
    </x:row>
    <x:row r="41">
      <x:c r="A41" s="88" t="str">
        <x:v>T-037</x:v>
      </x:c>
      <x:c r="B41" s="88" t="str">
        <x:v>Reporting</x:v>
      </x:c>
      <x:c r="C41" s="141" t="str">
        <x:v>Anonymous/auth duplicate report protection</x:v>
      </x:c>
      <x:c r="D41" s="141" t="str">
        <x:v>Integration + Security</x:v>
      </x:c>
      <x:c r="E41" s="141" t="str">
        <x:v>Desktop/mobile duplicate reports and direct forged reason/ID/oversize rejection; source-HMAC cookie-clearing regression</x:v>
      </x:c>
      <x:c r="F41" s="141" t="str">
        <x:v>Local pass for covered report writes; actual trusted proxy source behavior and shared-IP policy need staging validation</x:v>
      </x:c>
      <x:c r="G41" s="141" t="str">
        <x:v>Same listing/user/cookie</x:v>
      </x:c>
      <x:c r="H41" s="141" t="str">
        <x:v>At most one report per identity</x:v>
      </x:c>
    </x:row>
    <x:row r="42">
      <x:c r="A42" s="88" t="str">
        <x:v>T-038</x:v>
      </x:c>
      <x:c r="B42" s="88" t="str">
        <x:v>Reporting</x:v>
      </x:c>
      <x:c r="C42" s="141" t="str">
        <x:v>Five-report auto-hide concurrency</x:v>
      </x:c>
      <x:c r="D42" s="141" t="str">
        <x:v>Integration</x:v>
      </x:c>
      <x:c r="E42" s="141" t="str">
        <x:v>Desktop/mobile Chromium sequential reports 1-5 and simultaneous fifth/sixth, public visibility, auto-queue, confirmation and admin resolution</x:v>
      </x:c>
      <x:c r="F42" s="141" t="str">
        <x:v>Passed: four remain public; fifth holds ad; concurrent fifth/sixth yield five open reports and one new queue event</x:v>
      </x:c>
      <x:c r="G42" s="141" t="str">
        <x:v>Four then concurrent fifth/sixth</x:v>
      </x:c>
      <x:c r="H42" s="141" t="str">
        <x:v>Single safe transition and audit entry</x:v>
      </x:c>
    </x:row>
    <x:row r="43">
      <x:c r="A43" s="88" t="str">
        <x:v>T-039</x:v>
      </x:c>
      <x:c r="B43" s="88" t="str">
        <x:v>Moderation</x:v>
      </x:c>
      <x:c r="C43" s="141" t="str">
        <x:v>Admin approve/remove and non-admin denial</x:v>
      </x:c>
      <x:c r="D43" s="141" t="str">
        <x:v>Security + E2E</x:v>
      </x:c>
      <x:c r="E43" s="141" t="str">
        <x:v>Desktop/mobile admin mutation success plus direct flag/remove replay by seller and anonymous visitor; database and audit assertions</x:v>
      </x:c>
      <x:c r="F43" s="141" t="str">
        <x:v>Local pass: unauthorized requests redirect without listing/audit changes; identical administrator requests hide/remove and append audit entries. Live acceptance remains.</x:v>
      </x:c>
      <x:c r="G43" s="141" t="str">
        <x:v>Reported/flagged listings</x:v>
      </x:c>
      <x:c r="H43" s="141" t="str">
        <x:v>Correct statuses, report resolution and audit</x:v>
      </x:c>
    </x:row>
    <x:row r="44">
      <x:c r="A44" s="88" t="str">
        <x:v>T-040</x:v>
      </x:c>
      <x:c r="B44" s="88" t="str">
        <x:v>Admin</x:v>
      </x:c>
      <x:c r="C44" s="141" t="str">
        <x:v>Ban/unban and active session enforcement</x:v>
      </x:c>
      <x:c r="D44" s="141" t="str">
        <x:v>Security + E2E</x:v>
      </x:c>
      <x:c r="E44" s="141" t="str">
        <x:v>Existing authorization/session/audit tests plus banned public detail GET, image GET/HEAD, contact replay, discovery/sitemap and unban without reviving removed inventory.</x:v>
      </x:c>
      <x:c r="F44" s="141" t="str">
        <x:v>Local regressions cover admin access and banned inventory visibility. Independent updated-head review and production acceptance remain.</x:v>
      </x:c>
      <x:c r="G44" s="141" t="str">
        <x:v>User admin complete</x:v>
      </x:c>
      <x:c r="H44" s="141" t="str">
        <x:v>Only admin acts; banned session rejected</x:v>
      </x:c>
    </x:row>
    <x:row r="45">
      <x:c r="A45" s="88" t="str">
        <x:v>T-041</x:v>
      </x:c>
      <x:c r="B45" s="88" t="str">
        <x:v>Homepage</x:v>
      </x:c>
      <x:c r="C45" s="141" t="str">
        <x:v>Desktop/tablet/mobile visual acceptance</x:v>
      </x:c>
      <x:c r="D45" s="141" t="str">
        <x:v>Visual regression</x:v>
      </x:c>
      <x:c r="E45" s="141" t="str">
        <x:v>Owner homepage review; desktop/mobile Chromium responsive checks; iPhone 13 WebKit navigation, search, width, sign-in and photo-upload smoke</x:v>
      </x:c>
      <x:c r="F45" s="141" t="str">
        <x:v>Partial pass: Chromium and simulated WebKit smoke have no viewport overflow; real Safari/iPhone, camera/keyboard and broader staging QA remain open</x:v>
      </x:c>
      <x:c r="G45" s="141" t="str">
        <x:v>Owner-approved homepage merged in PR #5; PR #6 local acceptance</x:v>
      </x:c>
      <x:c r="H45" s="141" t="str">
        <x:v>No overflow/clipping; approved layout</x:v>
      </x:c>
    </x:row>
    <x:row r="46">
      <x:c r="A46" s="88" t="str">
        <x:v>T-042</x:v>
      </x:c>
      <x:c r="B46" s="88" t="str">
        <x:v>Homepage</x:v>
      </x:c>
      <x:c r="C46" s="141" t="str">
        <x:v>Search tabs and filters</x:v>
      </x:c>
      <x:c r="D46" s="141" t="str">
        <x:v>E2E</x:v>
      </x:c>
      <x:c r="E46" s="141" t="str">
        <x:v>Playwright desktop/mobile homepage search tabs</x:v>
      </x:c>
      <x:c r="F46" s="141" t="str">
        <x:v>Passed: car/bike/parts navigation; deeper filter combinations pending</x:v>
      </x:c>
      <x:c r="G46" s="141" t="str">
        <x:v>Seeded taxonomy</x:v>
      </x:c>
      <x:c r="H46" s="141" t="str">
        <x:v>Correct canonical results URL per category</x:v>
      </x:c>
    </x:row>
    <x:row r="47">
      <x:c r="A47" s="88" t="str">
        <x:v>T-043</x:v>
      </x:c>
      <x:c r="B47" s="88" t="str">
        <x:v>Accessibility</x:v>
      </x:c>
      <x:c r="C47" s="141" t="str">
        <x:v>Keyboard, focus, labels, contrast and zoom</x:v>
      </x:c>
      <x:c r="D47" s="141" t="str">
        <x:v>Automated + Manual</x:v>
      </x:c>
      <x:c r="E47" s="141" t="str">
        <x:v>Automated axe-core audit on 34 public/seller/dealer/admin/vehicle-detail routes in desktop and mobile Chromium; keyboard skip-link test</x:v>
      </x:c>
      <x:c r="F47" s="141" t="str">
        <x:v>Partial pass: automated scan has no violations after contrast, label and landmark fixes; manual screen-reader, zoom, reduced-motion and real-device review open</x:v>
      </x:c>
      <x:c r="G47" s="141" t="str">
        <x:v>Feature-complete UI</x:v>
      </x:c>
      <x:c r="H47" s="141" t="str">
        <x:v>No critical WCAG-oriented failure</x:v>
      </x:c>
    </x:row>
    <x:row r="48">
      <x:c r="A48" s="88" t="str">
        <x:v>T-044</x:v>
      </x:c>
      <x:c r="B48" s="88" t="str">
        <x:v>SEO</x:v>
      </x:c>
      <x:c r="C48" s="141" t="str">
        <x:v>Canonical/indexation/title policy</x:v>
      </x:c>
      <x:c r="D48" s="141" t="str">
        <x:v>Unit</x:v>
      </x:c>
      <x:c r="E48" s="141" t="str">
        <x:v>Automated</x:v>
      </x:c>
      <x:c r="F48" s="141" t="str">
        <x:v>Passed in full project check</x:v>
      </x:c>
      <x:c r="G48" s="141" t="str">
        <x:v>No DB needed</x:v>
      </x:c>
      <x:c r="H48" s="141" t="str">
        <x:v>All assertions pass</x:v>
      </x:c>
    </x:row>
    <x:row r="49">
      <x:c r="A49" s="88" t="str">
        <x:v>T-045</x:v>
      </x:c>
      <x:c r="B49" s="88" t="str">
        <x:v>SEO</x:v>
      </x:c>
      <x:c r="C49" s="141" t="str">
        <x:v>Structured data validation</x:v>
      </x:c>
      <x:c r="D49" s="141" t="str">
        <x:v>Manual + automated schema</x:v>
      </x:c>
      <x:c r="E49" s="141" t="str">
        <x:v>49 local SEO assertions plus desktop/mobile Chromium Product JSON-LD extraction from an active parts listing</x:v>
      </x:c>
      <x:c r="F49" s="141" t="str">
        <x:v>Partial pass: Product type, canonical URL, PKR price, condition and classified-only offer verified; public rich-result validator and production origin/media checks remain</x:v>
      </x:c>
      <x:c r="G49" s="141" t="str">
        <x:v>Deployed staging URL</x:v>
      </x:c>
      <x:c r="H49" s="141" t="str">
        <x:v>No critical schema errors</x:v>
      </x:c>
    </x:row>
    <x:row r="50">
      <x:c r="A50" s="88" t="str">
        <x:v>T-046</x:v>
      </x:c>
      <x:c r="B50" s="88" t="str">
        <x:v>SEO</x:v>
      </x:c>
      <x:c r="C50" s="141" t="str">
        <x:v>Sitemap/robots by environment</x:v>
      </x:c>
      <x:c r="D50" s="141" t="str">
        <x:v>Integration</x:v>
      </x:c>
      <x:c r="E50" s="141" t="str">
        <x:v>Route sweep partial</x:v>
      </x:c>
      <x:c r="F50" s="141" t="str">
        <x:v>Pending deployment</x:v>
      </x:c>
      <x:c r="G50" s="141" t="str">
        <x:v>Staging and production env</x:v>
      </x:c>
      <x:c r="H50" s="141" t="str">
        <x:v>Staging blocked; production canonical URLs only</x:v>
      </x:c>
    </x:row>
    <x:row r="51">
      <x:c r="A51" s="88" t="str">
        <x:v>T-047</x:v>
      </x:c>
      <x:c r="B51" s="88" t="str">
        <x:v>Security</x:v>
      </x:c>
      <x:c r="C51" s="141" t="str">
        <x:v>Rate-limit abuse suite</x:v>
      </x:c>
      <x:c r="D51" s="141" t="str">
        <x:v>Security/load</x:v>
      </x:c>
      <x:c r="E51" s="141" t="str">
        <x:v>Atomic PostgreSQL quotas, browser denial/recovery and configured singleton proxy-header parsing tests</x:v>
      </x:c>
      <x:c r="F51" s="141" t="str">
        <x:v>Local pass for covered limits and spoofed/unconfigured header rejection; actual edge proxy, thresholds and alerts open</x:v>
      </x:c>
      <x:c r="G51" s="141" t="str">
        <x:v>Rate limits complete</x:v>
      </x:c>
      <x:c r="H51" s="141" t="str">
        <x:v>Limits trigger predictably and recover</x:v>
      </x:c>
    </x:row>
    <x:row r="52">
      <x:c r="A52" s="88" t="str">
        <x:v>T-048</x:v>
      </x:c>
      <x:c r="B52" s="88" t="str">
        <x:v>Security</x:v>
      </x:c>
      <x:c r="C52" s="141" t="str">
        <x:v>OWASP/IDOR/upload/CSP assessment</x:v>
      </x:c>
      <x:c r="D52" s="141" t="str">
        <x:v>Security review</x:v>
      </x:c>
      <x:c r="E52" s="141" t="str">
        <x:v>Local ownership/origin/upload/retention regression, production npm audit, and prehosting security review</x:v>
      </x:c>
      <x:c r="F52" s="141" t="str">
        <x:v>Partial local pass: production audit zero, no new confirmed local critical/high; independent candidate and deployed proxy/storage/CSP review open</x:v>
      </x:c>
      <x:c r="G52" s="141" t="str">
        <x:v>Feature-complete staging</x:v>
      </x:c>
      <x:c r="H52" s="141" t="str">
        <x:v>No unresolved critical/high findings</x:v>
      </x:c>
    </x:row>
    <x:row r="53">
      <x:c r="A53" s="88" t="str">
        <x:v>T-049</x:v>
      </x:c>
      <x:c r="B53" s="88" t="str">
        <x:v>Performance</x:v>
      </x:c>
      <x:c r="C53" s="141" t="str">
        <x:v>20k listings query plan</x:v>
      </x:c>
      <x:c r="D53" s="141" t="str">
        <x:v>Database performance</x:v>
      </x:c>
      <x:c r="E53" s="141" t="str">
        <x:v>20,000 synthetic listing EXPLAIN ANALYZE sample in isolated PostgreSQL; fixture rollback; core and full browse joins</x:v>
      </x:c>
      <x:c r="F53" s="141" t="str">
        <x:v>Local query-plan sample passed; optimized first-page cars 0.566 ms and offset-5000 cars 20.535 ms. Representative staging P95 open</x:v>
      </x:c>
      <x:c r="G53" s="141" t="str">
        <x:v>Production-like DB</x:v>
      </x:c>
      <x:c r="H53" s="141" t="str">
        <x:v>Index usage and acceptable P95</x:v>
      </x:c>
    </x:row>
    <x:row r="54">
      <x:c r="A54" s="88" t="str">
        <x:v>T-050</x:v>
      </x:c>
      <x:c r="B54" s="88" t="str">
        <x:v>Performance</x:v>
      </x:c>
      <x:c r="C54" s="141" t="str">
        <x:v>500 concurrent user ramp/soak</x:v>
      </x:c>
      <x:c r="D54" s="141" t="str">
        <x:v>Load</x:v>
      </x:c>
      <x:c r="E54" s="141" t="str">
        <x:v>Local 100-request concurrency-five HTTP smoke plus 20,000-listing query sample; staging 500-user ramp/soak not run</x:v>
      </x:c>
      <x:c r="F54" s="141" t="str">
        <x:v>Partial: local read smoke zero failures, p95 585 ms; production-like 500-user capacity open</x:v>
      </x:c>
      <x:c r="G54" s="141" t="str">
        <x:v>Production-like staging</x:v>
      </x:c>
      <x:c r="H54" s="141" t="str">
        <x:v>Error/latency/DB pool stay within target</x:v>
      </x:c>
    </x:row>
    <x:row r="55">
      <x:c r="A55" s="88" t="str">
        <x:v>T-051</x:v>
      </x:c>
      <x:c r="B55" s="88" t="str">
        <x:v>Operations</x:v>
      </x:c>
      <x:c r="C55" s="141" t="str">
        <x:v>Clean migration and seed</x:v>
      </x:c>
      <x:c r="D55" s="141" t="str">
        <x:v>Deployment integration</x:v>
      </x:c>
      <x:c r="E55" s="141" t="str">
        <x:v>Clean isolated migrations/seeding, seven DB checks and current local production build</x:v>
      </x:c>
      <x:c r="F55" s="141" t="str">
        <x:v>Local migrations/seven DB acceptance tests pass; full GitHub run 43 on 0569081 passed fresh migration, seed and DB acceptance. Production database deployment and rollback rehearsal remain open.</x:v>
      </x:c>
      <x:c r="G55" s="141" t="str">
        <x:v>Fresh PostgreSQL</x:v>
      </x:c>
      <x:c r="H55" s="141" t="str">
        <x:v>Schema/seed complete without errors</x:v>
      </x:c>
    </x:row>
    <x:row r="56">
      <x:c r="A56" s="88" t="str">
        <x:v>T-052</x:v>
      </x:c>
      <x:c r="B56" s="88" t="str">
        <x:v>Operations</x:v>
      </x:c>
      <x:c r="C56" s="141" t="str">
        <x:v>Backup restoration drill</x:v>
      </x:c>
      <x:c r="D56" s="141" t="str">
        <x:v>Operational</x:v>
      </x:c>
      <x:c r="E56" s="141" t="str">
        <x:v>Local deletion replay and ID-reservation pass; production backup drill not run</x:v>
      </x:c>
      <x:c r="F56" s="141" t="str">
        <x:v>Pre-launch: configure actual 30-day backups, current ledger/hold recovery and production-like restore smoke</x:v>
      </x:c>
      <x:c r="G56" s="141" t="str">
        <x:v>Production-like backup</x:v>
      </x:c>
      <x:c r="H56" s="141" t="str">
        <x:v>Restored system passes smoke tests</x:v>
      </x:c>
    </x:row>
    <x:row r="57">
      <x:c r="A57" s="88" t="str">
        <x:v>T-053</x:v>
      </x:c>
      <x:c r="B57" s="88" t="str">
        <x:v>Operations</x:v>
      </x:c>
      <x:c r="C57" s="141" t="str">
        <x:v>Cron authentication and monitoring</x:v>
      </x:c>
      <x:c r="D57" s="141" t="str">
        <x:v>Integration/Operational</x:v>
      </x:c>
      <x:c r="E57" s="141" t="str">
        <x:v>Authenticated retention/media workers, lifecycle visibility, limiter exhaustion/recovery, stale sold replay and complaint-evidence edit guards</x:v>
      </x:c>
      <x:c r="F57" s="141" t="str">
        <x:v>Local DB/browser pass; production schedules/provider deletion/backups/ledger restore rehearsal remain</x:v>
      </x:c>
      <x:c r="G57" s="141" t="str">
        <x:v>Configured CRON_SECRET</x:v>
      </x:c>
      <x:c r="H57" s="141" t="str">
        <x:v>Authorized jobs run; failures alert</x:v>
      </x:c>
    </x:row>
    <x:row r="58">
      <x:c r="A58" s="88" t="str">
        <x:v>T-054</x:v>
      </x:c>
      <x:c r="B58" s="88" t="str">
        <x:v>Operations</x:v>
      </x:c>
      <x:c r="C58" s="141" t="str">
        <x:v>Production smoke and rollback</x:v>
      </x:c>
      <x:c r="D58" s="141" t="str">
        <x:v>E2E/Operational</x:v>
      </x:c>
      <x:c r="E58" s="141" t="str">
        <x:v>Not run</x:v>
      </x:c>
      <x:c r="F58" s="141" t="str">
        <x:v>Launch gate</x:v>
      </x:c>
      <x:c r="G58" s="141" t="str">
        <x:v>Production deployment</x:v>
      </x:c>
      <x:c r="H58" s="141" t="str">
        <x:v>Critical journeys pass or rollback executes</x:v>
      </x:c>
    </x:row>
    <x:row r="59">
      <x:c r="A59" t="str">
        <x:v>T-055</x:v>
      </x:c>
      <x:c r="B59" t="str">
        <x:v>Authentication</x:v>
      </x:c>
      <x:c r="C59" t="str">
        <x:v>Google OAuth local signup and schema drift repair</x:v>
      </x:c>
      <x:c r="D59" t="str">
        <x:v>DB integration + targeted E2E</x:v>
      </x:c>
      <x:c r="E59" t="str">
        <x:v>Automated + manual</x:v>
      </x:c>
      <x:c r="F59" t="str">
        <x:v>Passed 8 Sep 2026</x:v>
      </x:c>
      <x:c r="G59" t="str">
        <x:v>Configured local Google provider and PostgreSQL</x:v>
      </x:c>
      <x:c r="H59" t="str">
        <x:v>Callback succeeds; repair is idempotent and users.updated_at is present</x:v>
      </x:c>
    </x:row>
    <x:row r="60">
      <x:c r="A60" t="str">
        <x:v>T-056</x:v>
      </x:c>
      <x:c r="B60" t="str">
        <x:v>Content &amp; Legal</x:v>
      </x:c>
      <x:c r="C60" t="str">
        <x:v>Legal/content routes, metadata and footer navigation</x:v>
      </x:c>
      <x:c r="D60" t="str">
        <x:v>Static + HTTP smoke</x:v>
      </x:c>
      <x:c r="E60" t="str">
        <x:v>Automated + targeted manual</x:v>
      </x:c>
      <x:c r="F60" t="str">
        <x:v>Passed 8 Sep 2026</x:v>
      </x:c>
      <x:c r="G60" t="str">
        <x:v>Stage 6.1 implementation</x:v>
      </x:c>
      <x:c r="H60" t="str">
        <x:v>Six routes return 200, expose page headings/titles and are linked from the footer</x:v>
      </x:c>
    </x:row>
    <x:row r="61">
      <x:c r="A61" t="str">
        <x:v>T-057</x:v>
      </x:c>
      <x:c r="B61" t="str">
        <x:v>Map Location</x:v>
      </x:c>
      <x:c r="C61" t="str">
        <x:v>Google Maps create/edit/public approximate-location acceptance</x:v>
      </x:c>
      <x:c r="D61" t="str">
        <x:v>DB + privacy + E2E</x:v>
      </x:c>
      <x:c r="E61" t="str">
        <x:v>Automated partial</x:v>
      </x:c>
      <x:c r="F61" t="str">
        <x:v>Blocked by Google Maps billing</x:v>
      </x:c>
      <x:c r="G61" t="str">
        <x:v>Billing enabled and configured local key</x:v>
      </x:c>
      <x:c r="H61" t="str">
        <x:v>Map loads in all seller forms; exact pin stays private; public map shows only coarse location</x:v>
      </x:c>
    </x:row>
  </x:sheetData>
  <x:mergeCells>
    <x:mergeCell ref="A1:H1"/>
    <x:mergeCell ref="A2:H2"/>
  </x:mergeCells>
  <x:pageMargins left="0.7" right="0.7" top="0.75" bottom="0.75" header="0.3" footer="0.3"/>
  <x:tableParts count="1">
    <x:tablePart xmlns:r="http://schemas.openxmlformats.org/officeDocument/2006/relationships" r:id="R500fa6b9ed87427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56" hidden="0" customWidth="1"/>
    <x:col min="3" max="3" width="25" hidden="0" customWidth="1"/>
    <x:col min="4" max="4" width="48" hidden="0" customWidth="1"/>
  </x:cols>
  <x:sheetData>
    <x:row r="1">
      <x:c r="A1" s="138" t="str">
        <x:v>JaniWheels V1 Scope Guardrails</x:v>
      </x:c>
      <x:c r="B1" s="138"/>
      <x:c r="C1" s="138"/>
      <x:c r="D1" s="138"/>
    </x:row>
    <x:row r="2">
      <x:c r="A2" s="139" t="str">
        <x:v>These items must not enter V1 development unless the signed proposal is formally changed.</x:v>
      </x:c>
      <x:c r="B2" s="139"/>
      <x:c r="C2" s="139"/>
      <x:c r="D2" s="139"/>
    </x:row>
    <x:row r="3">
      <x:c r="A3" s="88"/>
      <x:c r="B3" s="88"/>
      <x:c r="C3" s="88"/>
      <x:c r="D3" s="88"/>
    </x:row>
    <x:row r="4">
      <x:c r="A4" s="113" t="str">
        <x:v>Area</x:v>
      </x:c>
      <x:c r="B4" s="113" t="str">
        <x:v>Excluded Functionality</x:v>
      </x:c>
      <x:c r="C4" s="113" t="str">
        <x:v>Status</x:v>
      </x:c>
      <x:c r="D4" s="113" t="str">
        <x:v>Rule</x:v>
      </x:c>
    </x:row>
    <x:row r="5">
      <x:c r="A5" s="88" t="str">
        <x:v>Payments</x:v>
      </x:c>
      <x:c r="B5" s="141" t="str">
        <x:v>JazzCash, Easypaisa, cards, callbacks, billing</x:v>
      </x:c>
      <x:c r="C5" s="141" t="str">
        <x:v>Removed / Do Not Build</x:v>
      </x:c>
      <x:c r="D5" s="141" t="str">
        <x:v>Signed change request required</x:v>
      </x:c>
    </x:row>
    <x:row r="6">
      <x:c r="A6" s="88" t="str">
        <x:v>Paid placement</x:v>
      </x:c>
      <x:c r="B6" s="141" t="str">
        <x:v>Featured ads, promoted listings, bumps</x:v>
      </x:c>
      <x:c r="C6" s="141" t="str">
        <x:v>Removed / Do Not Build</x:v>
      </x:c>
      <x:c r="D6" s="141" t="str">
        <x:v>Use genuine Latest Listings only</x:v>
      </x:c>
    </x:row>
    <x:row r="7">
      <x:c r="A7" s="88" t="str">
        <x:v>Dealer monetization</x:v>
      </x:c>
      <x:c r="B7" s="141" t="str">
        <x:v>Subscriptions, paid plans, billing analytics</x:v>
      </x:c>
      <x:c r="C7" s="141" t="str">
        <x:v>Removed / Do Not Build</x:v>
      </x:c>
      <x:c r="D7" s="141" t="str">
        <x:v>Basic dashboard remains V1</x:v>
      </x:c>
    </x:row>
    <x:row r="8">
      <x:c r="A8" s="88" t="str">
        <x:v>Finance</x:v>
      </x:c>
      <x:c r="B8" s="141" t="str">
        <x:v>Financing calculator, banks, insurance</x:v>
      </x:c>
      <x:c r="C8" s="141" t="str">
        <x:v>Removed / Do Not Build</x:v>
      </x:c>
      <x:c r="D8" s="141" t="str">
        <x:v>Signed change request required</x:v>
      </x:c>
    </x:row>
    <x:row r="9">
      <x:c r="A9" s="88" t="str">
        <x:v>Valuation/AI</x:v>
      </x:c>
      <x:c r="B9" s="141" t="str">
        <x:v>Price prediction and recommendation engines</x:v>
      </x:c>
      <x:c r="C9" s="141" t="str">
        <x:v>Removed / Do Not Build</x:v>
      </x:c>
      <x:c r="D9" s="141" t="str">
        <x:v>Signed change request required</x:v>
      </x:c>
    </x:row>
    <x:row r="10">
      <x:c r="A10" s="88" t="str">
        <x:v>Imports</x:v>
      </x:c>
      <x:c r="B10" s="141" t="str">
        <x:v>CSV/bulk/automatic third-party inventory imports</x:v>
      </x:c>
      <x:c r="C10" s="141" t="str">
        <x:v>Removed / Do Not Build</x:v>
      </x:c>
      <x:c r="D10" s="141" t="str">
        <x:v>Manual approved forms only</x:v>
      </x:c>
    </x:row>
    <x:row r="11">
      <x:c r="A11" s="88" t="str">
        <x:v>Parts e-commerce</x:v>
      </x:c>
      <x:c r="B11" s="141" t="str">
        <x:v>Cart, checkout, shipping, fulfilment, orders, tracking</x:v>
      </x:c>
      <x:c r="C11" s="141" t="str">
        <x:v>Removed / Do Not Build</x:v>
      </x:c>
      <x:c r="D11" s="141" t="str">
        <x:v>Parts remain classified contact only</x:v>
      </x:c>
    </x:row>
    <x:row r="12">
      <x:c r="A12" s="88" t="str">
        <x:v>SMS OTP</x:v>
      </x:c>
      <x:c r="B12" s="141" t="str">
        <x:v>Twilio/SMS login or verification</x:v>
      </x:c>
      <x:c r="C12" s="141" t="str">
        <x:v>Removed / Do Not Build</x:v>
      </x:c>
      <x:c r="D12" s="141" t="str">
        <x:v>Google-first and verified-email authentication with secure email reset; SMS OTP remains excluded</x:v>
      </x:c>
    </x:row>
    <x:row r="13">
      <x:c r="A13" s="88" t="str">
        <x:v>Inspection operations</x:v>
      </x:c>
      <x:c r="B13" s="141" t="str">
        <x:v>Packages, payments, inspector apps, scheduling, scoring, PDF reports</x:v>
      </x:c>
      <x:c r="C13" s="141" t="str">
        <x:v>Removed / Do Not Build</x:v>
      </x:c>
      <x:c r="D13" s="141" t="str">
        <x:v>Request and manual follow-up only</x:v>
      </x:c>
    </x:row>
    <x:row r="14">
      <x:c r="A14" s="88" t="str">
        <x:v>Internal chat</x:v>
      </x:c>
      <x:c r="B14" s="141" t="str">
        <x:v>Buyer-seller chat and WhatsApp Business automation</x:v>
      </x:c>
      <x:c r="C14" s="141" t="str">
        <x:v>Not in V1</x:v>
      </x:c>
      <x:c r="D14" s="141" t="str">
        <x:v>Direct phone/approved WhatsApp link only</x:v>
      </x:c>
    </x:row>
    <x:row r="15">
      <x:c r="A15" s="88" t="str">
        <x:v>Enterprise systems</x:v>
      </x:c>
      <x:c r="B15" s="141" t="str">
        <x:v>Advanced CRM, ERP, BI and multilingual functionality</x:v>
      </x:c>
      <x:c r="C15" s="141" t="str">
        <x:v>Not in V1</x:v>
      </x:c>
      <x:c r="D15" s="141" t="str">
        <x:v>Signed change request required</x:v>
      </x:c>
    </x:row>
    <x:row r="16">
      <x:c r="A16" s="88" t="str">
        <x:v>Fake marketplace content</x:v>
      </x:c>
      <x:c r="B16" s="141" t="str">
        <x:v>Fake counts, reviews, testimonials or verified claims</x:v>
      </x:c>
      <x:c r="C16" s="141" t="str">
        <x:v>Prohibited</x:v>
      </x:c>
      <x:c r="D16" s="141" t="str">
        <x:v>Display only accurate database-backed information</x:v>
      </x:c>
    </x:row>
  </x:sheetData>
  <x:mergeCells>
    <x:mergeCell ref="A1:D1"/>
    <x:mergeCell ref="A2:D2"/>
  </x:mergeCells>
  <x:pageMargins left="0.7" right="0.7" top="0.75" bottom="0.75" header="0.3" footer="0.3"/>
  <x:tableParts count="1">
    <x:tablePart xmlns:r="http://schemas.openxmlformats.org/officeDocument/2006/relationships" r:id="R3d0ab4a8450f49e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s>
  <x:sheetData>
    <x:row r="1">
      <x:c r="A1" s="2" t="str">
        <x:v>Status</x:v>
      </x:c>
      <x:c r="B1" s="2" t="str">
        <x:v>Priority</x:v>
      </x:c>
      <x:c r="C1" s="2" t="str">
        <x:v>Owner</x:v>
      </x:c>
      <x:c r="D1" s="2" t="str">
        <x:v>Stage</x:v>
      </x:c>
    </x:row>
    <x:row r="2">
      <x:c r="A2" t="str">
        <x:v>Completed</x:v>
      </x:c>
      <x:c r="B2" t="str">
        <x:v>Critical</x:v>
      </x:c>
      <x:c r="C2" t="str">
        <x:v>Unassigned</x:v>
      </x:c>
      <x:c r="D2" t="str">
        <x:v>Stage 0</x:v>
      </x:c>
    </x:row>
    <x:row r="3">
      <x:c r="A3" t="str">
        <x:v>Complete on Feature Branch - Awaiting Review</x:v>
      </x:c>
      <x:c r="B3" t="str">
        <x:v>High</x:v>
      </x:c>
      <x:c r="C3" t="str">
        <x:v>UI/UX</x:v>
      </x:c>
      <x:c r="D3" t="str">
        <x:v>Stage 1</x:v>
      </x:c>
    </x:row>
    <x:row r="4">
      <x:c r="A4" t="str">
        <x:v>Partially Implemented</x:v>
      </x:c>
      <x:c r="B4" t="str">
        <x:v>Medium</x:v>
      </x:c>
      <x:c r="C4" t="str">
        <x:v>Frontend</x:v>
      </x:c>
      <x:c r="D4" t="str">
        <x:v>Stage 2</x:v>
      </x:c>
    </x:row>
    <x:row r="5">
      <x:c r="A5" t="str">
        <x:v>Data Layer Only</x:v>
      </x:c>
      <x:c r="B5" t="str">
        <x:v>Low</x:v>
      </x:c>
      <x:c r="C5" t="str">
        <x:v>Backend</x:v>
      </x:c>
      <x:c r="D5" t="str">
        <x:v>Stage 3</x:v>
      </x:c>
    </x:row>
    <x:row r="6">
      <x:c r="A6" t="str">
        <x:v>Requires Correction</x:v>
      </x:c>
      <x:c r="B6" t="str">
        <x:v>Do Not Build</x:v>
      </x:c>
      <x:c r="C6" t="str">
        <x:v>Full Stack</x:v>
      </x:c>
      <x:c r="D6" t="str">
        <x:v>Stage 4</x:v>
      </x:c>
    </x:row>
    <x:row r="7">
      <x:c r="A7" t="str">
        <x:v>Pending</x:v>
      </x:c>
      <x:c r="B7"/>
      <x:c r="C7" t="str">
        <x:v>QA</x:v>
      </x:c>
      <x:c r="D7" t="str">
        <x:v>Stage 5</x:v>
      </x:c>
    </x:row>
    <x:row r="8">
      <x:c r="A8" t="str">
        <x:v>Launch Configuration Pending</x:v>
      </x:c>
      <x:c r="B8"/>
      <x:c r="C8" t="str">
        <x:v>DevOps</x:v>
      </x:c>
      <x:c r="D8" t="str">
        <x:v>Stage 6</x:v>
      </x:c>
    </x:row>
    <x:row r="9">
      <x:c r="A9" t="str">
        <x:v>Out of Scope / Removed</x:v>
      </x:c>
      <x:c r="B9"/>
      <x:c r="C9" t="str">
        <x:v>Admin/Operations</x:v>
      </x:c>
      <x:c r="D9" t="str">
        <x:v>Post-V1</x:v>
      </x:c>
    </x:row>
    <x:row r="10">
      <x:c r="A10"/>
      <x:c r="B10"/>
      <x:c r="C10" t="str">
        <x:v>Content/Legal</x:v>
      </x:c>
      <x:c r="D10" t="str">
        <x:v>Excluded</x:v>
      </x:c>
    </x:row>
  </x:sheetData>
  <x:pageMargins left="0.7" right="0.7" top="0.75" bottom="0.75" header="0.3" footer="0.3"/>
</x:worksheet>
</file>