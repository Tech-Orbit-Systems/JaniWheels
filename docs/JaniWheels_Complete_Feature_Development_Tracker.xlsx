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f7dbfea8da492a" /></Relationships>
</file>

<file path=xl/workbook.xml><?xml version="1.0" encoding="utf-8"?>
<x:workbook xmlns:x="http://schemas.openxmlformats.org/spreadsheetml/2006/main">
  <x:sheets>
    <x:sheet xmlns:r="http://schemas.openxmlformats.org/officeDocument/2006/relationships" name="Dashboard" sheetId="1" r:id="R8a8d927b0e5441fb"/>
    <x:sheet xmlns:r="http://schemas.openxmlformats.org/officeDocument/2006/relationships" name="Governance &amp; Usage" sheetId="2" r:id="R168a5a2ca24847f1"/>
    <x:sheet xmlns:r="http://schemas.openxmlformats.org/officeDocument/2006/relationships" name="Feature Tracker" sheetId="3" r:id="R9983a95bf4ae4a52"/>
    <x:sheet xmlns:r="http://schemas.openxmlformats.org/officeDocument/2006/relationships" name="Development Roadmap" sheetId="4" r:id="Rb92f78b18a7e4d3f"/>
    <x:sheet xmlns:r="http://schemas.openxmlformats.org/officeDocument/2006/relationships" name="Test Matrix" sheetId="5" r:id="Rdaab815de5d54438"/>
    <x:sheet xmlns:r="http://schemas.openxmlformats.org/officeDocument/2006/relationships" name="Scope Guardrails" sheetId="6" r:id="Rf3b9dea079514c58"/>
    <x:sheet xmlns:r="http://schemas.openxmlformats.org/officeDocument/2006/relationships" name="Lists" sheetId="7" r:id="Rec1968df43ab488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0c4e59dd6f4597" /><Relationship Type="http://schemas.openxmlformats.org/officeDocument/2006/relationships/theme" Target="/xl/theme/theme1.xml" Id="R8b4b837cf1894e1b" /><Relationship Type="http://schemas.openxmlformats.org/officeDocument/2006/relationships/sharedStrings" Target="/xl/sharedStrings.xml" Id="R72cb64bfeec64d09" /><Relationship Type="http://schemas.openxmlformats.org/officeDocument/2006/relationships/worksheet" Target="/xl/worksheets/sheet1.xml" Id="R8a8d927b0e5441fb" /><Relationship Type="http://schemas.openxmlformats.org/officeDocument/2006/relationships/worksheet" Target="/xl/worksheets/sheet2.xml" Id="R168a5a2ca24847f1" /><Relationship Type="http://schemas.openxmlformats.org/officeDocument/2006/relationships/worksheet" Target="/xl/worksheets/sheet3.xml" Id="R9983a95bf4ae4a52" /><Relationship Type="http://schemas.openxmlformats.org/officeDocument/2006/relationships/worksheet" Target="/xl/worksheets/sheet4.xml" Id="Rb92f78b18a7e4d3f" /><Relationship Type="http://schemas.openxmlformats.org/officeDocument/2006/relationships/worksheet" Target="/xl/worksheets/sheet5.xml" Id="Rdaab815de5d54438" /><Relationship Type="http://schemas.openxmlformats.org/officeDocument/2006/relationships/worksheet" Target="/xl/worksheets/sheet6.xml" Id="Rf3b9dea079514c58" /><Relationship Type="http://schemas.openxmlformats.org/officeDocument/2006/relationships/worksheet" Target="/xl/worksheets/sheet7.xml" Id="Rec1968df43ab488c" /></Relationships>
</file>

<file path=xl/drawings/_rels/drawing1.xml.rels>&#65279;<?xml version="1.0" encoding="utf-8"?><Relationships xmlns="http://schemas.openxmlformats.org/package/2006/relationships"><Relationship Type="http://schemas.openxmlformats.org/officeDocument/2006/relationships/chart" Target="/xl/drawings/charts/chart1.xml" Id="R924056941395404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240569413954047"/>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4d946bc9c754639" /></Relationships>
</file>

<file path=xl/worksheets/_rels/sheet3.xml.rels>&#65279;<?xml version="1.0" encoding="utf-8"?><Relationships xmlns="http://schemas.openxmlformats.org/package/2006/relationships"><Relationship Type="http://schemas.openxmlformats.org/officeDocument/2006/relationships/table" Target="/xl/tables/table1.xml" Id="R78aafc563f104f5c" /></Relationships>
</file>

<file path=xl/worksheets/_rels/sheet4.xml.rels>&#65279;<?xml version="1.0" encoding="utf-8"?><Relationships xmlns="http://schemas.openxmlformats.org/package/2006/relationships"><Relationship Type="http://schemas.openxmlformats.org/officeDocument/2006/relationships/table" Target="/xl/tables/table2.xml" Id="R56a701ced3464cf7" /></Relationships>
</file>

<file path=xl/worksheets/_rels/sheet5.xml.rels>&#65279;<?xml version="1.0" encoding="utf-8"?><Relationships xmlns="http://schemas.openxmlformats.org/package/2006/relationships"><Relationship Type="http://schemas.openxmlformats.org/officeDocument/2006/relationships/table" Target="/xl/tables/table3.xml" Id="R5152192ca2dd4974" /></Relationships>
</file>

<file path=xl/worksheets/_rels/sheet6.xml.rels>&#65279;<?xml version="1.0" encoding="utf-8"?><Relationships xmlns="http://schemas.openxmlformats.org/package/2006/relationships"><Relationship Type="http://schemas.openxmlformats.org/officeDocument/2006/relationships/table" Target="/xl/tables/table4.xml" Id="R73c6da61f4794101"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Passed on a96704b; CI run 37</x:v>
      </x:c>
      <x:c r="G5" s="92" t="str">
        <x:v>Current branch</x:v>
      </x:c>
      <x:c r="H5" s="93" t="str">
        <x:v>codex/launch-quality-system; PR #6</x:v>
      </x:c>
      <x:c r="I5" s="93"/>
      <x:c r="J5" s="94"/>
    </x:row>
    <x:row r="6" ht="16.799999237060547" hidden="0" customHeight="1">
      <x:c r="A6" s="95" t="str">
        <x:v>Completed</x:v>
      </x:c>
      <x:c r="B6" s="96" t="n">
        <x:f>COUNTIF('Feature Tracker'!$F$5:$F$215,"Completed")</x:f>
        <x:v>154</x:v>
      </x:c>
      <x:c r="C6" s="88"/>
      <x:c r="D6" s="97" t="str">
        <x:v>Lint</x:v>
      </x:c>
      <x:c r="E6" s="98" t="str">
        <x:v>Passed</x:v>
      </x:c>
      <x:c r="F6" s="99" t="str">
        <x:v>No warnings/errors; CI run 37</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GitHub run 37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Controlled failure/recovery, provider privacy and alert delivery</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6 DB checks; live deployment acceptance open</x:v>
      </x:c>
      <x:c r="G9" s="97" t="str">
        <x:v>Browser QA</x:v>
      </x:c>
      <x:c r="H9" s="98" t="str">
        <x:v>101 local passes, 1 planned skip; live/device QA open</x:v>
      </x:c>
      <x:c r="I9" s="98"/>
      <x:c r="J9" s="99"/>
    </x:row>
    <x:row r="10" ht="39.599998474121094" hidden="0" customHeight="1">
      <x:c r="A10" s="95" t="str">
        <x:v>Pending</x:v>
      </x:c>
      <x:c r="B10" s="96" t="n">
        <x:f>COUNTIF('Feature Tracker'!$F$5:$F$215,"Pending")</x:f>
        <x:v>11</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0.9076500000000002</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11</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Clean isolated acceptance: 101 browser passes, 1 planned skip, 6 DB checks (baseline + bootstrap) and 101-route sweep with zero issues. Check, lint and build pass; max First Load JS 128 KB. Initial-admin tool/runbook also verified. Current PR checks govern the latest commit; production staging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Next: controlled failure/recovery, Cloudflare private delivery, email-alert worker and retention/configuration work. Production providers, load and real-device acceptance remain open.</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e4d946bc9c754639"/>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Clean isolated acceptance: 101 browser passes, 1 planned skip, 6 DB checks (baseline + bootstrap) and 101-route sweep with zero issues. Check, lint and build pass; max First Load JS 128 KB. Admin bootstrap tool/runbook is verified; actual production provisioning remains open. Cloudflare privacy, alerts, retention, failure/load and live acceptance remain.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Environment template now documents local/Cloudflare media and rejects unsupported provider values. a96704b moves local storage outside public/. The template still refers to a missing src/lib/env.ts and unused/future settings; comprehensive startup validation is not implemented.</x:v>
      </x:c>
      <x:c r="O10" s="136" t="str">
        <x:v>Audit documented variables against consumers and implement safe startup validation for required deployment settings.</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0.8</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Six isolated PostgreSQL checks now include first-admin dry run, eligibility, audit-failure rollback, concurrent first-admin attempts, idempotency and session revocation, alongside reference/facet/rate-limit/upload-claim checks. Browser authorization cases also preserve DB/audit state.</x:v>
      </x:c>
      <x:c r="O16" s="136" t="str">
        <x:v>Extend transaction fault/concurrency checks to remaining moderation/service and delivery workflows.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Clean isolated acceptance: 101 browser passes, 1 planned skip, 6 DB checks (5 baseline plus bootstrap transaction acceptance) and 101-route sweep with zero issues. Check, lint and build pass; max First Load JS 128 KB. Dealer/service and expiry cases pass; first-admin CLI is verified separately without modifying production accounts.</x:v>
      </x:c>
      <x:c r="O17" s="136" t="str">
        <x:v>Review PR #6; retain regression coverage. Track additional cases in JW-177 rather than reopening the test-framework implementation.</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Reviewed estimate 90%: owner-approved homepage merged via PR #5; automated desktop/mobile route checks and iPhone WebKit smoke pass, including overflow checks. Broader tablet, real-device, keyboard/camera and slow-network visual acceptance remains open.</x:v>
      </x:c>
      <x:c r="O39" s="136" t="str">
        <x:v>Complete remaining tablet/real-device visual review and record issues by route.</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upload/delete adapter and direct delivery URLs exist. a96704b protects local reads only; Cloudflare private/signed delivery is not implemented or verified. Live upload/display/delete and configuration failure acceptance remain open.</x:v>
      </x:c>
      <x:c r="O87" s="136" t="str">
        <x:v>Implement provider-appropriate private delivery before production use; configure staging and verify media lifecycle.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Uploaded images are re-encoded as WebP. Local media now uses direct unoptimized no-store requests to preserve authorization; static site images retain Next optimization. Cloudflare width delivery exists but production dimensions, bandwidth and visual quality are unverified.</x:v>
      </x:c>
      <x:c r="O89" s="136" t="str">
        <x:v>Verify production image transformations and private delivery together; measure mobile media bandwidth/LCP.</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Partially Implemented</x:v>
      </x:c>
      <x:c r="G133" s="137" t="n">
        <x:v>0.4</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Reviewed estimate 40%: saved-search alert preferences and authenticated matching cron exist; unique outbox records deduplicate listing/search pairs. No delivery worker/template or delivered_at updater was found. Matching currently reads the first result page, so overflow and retry correctness need acceptance.</x:v>
      </x:c>
      <x:c r="O133" s="136" t="str">
        <x:v>Implement delivery worker, email template/retry/control flow and complete matching/overflow/deduplication tests, then configure provider and scheduler.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Directory/storefront code and route/accessibility checks pass; admin verification/revocation changes public badges with DB audit assertions. Exact inventory-count, mixed-state and pagination checks remain open.</x:v>
      </x:c>
      <x:c r="O135" s="136" t="str">
        <x:v>Complete T-032 with deterministic mixed-status dealer inventory.</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x:v>
      </x:c>
      <x:c r="H175" s="136" t="str">
        <x:v>High</x:v>
      </x:c>
      <x:c r="I175" s="136" t="str">
        <x:v>Stage 6</x:v>
      </x:c>
      <x:c r="J175" s="136" t="str">
        <x:v>Backend</x:v>
      </x:c>
      <x:c r="K175" s="136" t="str">
        <x:v>Privacy policy and operations</x:v>
      </x:c>
      <x:c r="L175" s="136" t="str">
        <x:v>Retention schedule and deletion workflows are documented and executable.</x:v>
      </x:c>
      <x:c r="M175" s="136" t="str">
        <x:v>Retention job; account deletion; backup implications</x:v>
      </x:c>
      <x:c r="N175" s="136" t="str">
        <x:v>Reviewed estimate 30%: purge-expired removes expired sessions, reset/verification tokens, old rate-limit buckets and abandoned uploads. Orphan storage cleanup has browser/DB acceptance. Account/report/service-record retention, deletion tooling and backup implications remain undefined/incomplete.</x:v>
      </x:c>
      <x:c r="O175" s="136" t="str">
        <x:v>Document retention decisions and implement account/report/service deletion workflows; verify backup handling and scheduled execution.</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0.4</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Reviewed estimate 40%: local review/regressions cover ownership, admin replay, upload content/origin/rate limits, private local reads and dependency audit. CI run 37 passes. Formal infrastructure assessment, remaining action negatives and Cloudflare privacy are not complete; this is not launch security sign-off.</x:v>
      </x:c>
      <x:c r="O176" s="136" t="str">
        <x:v>Finish dealer/service/private-provider assessment and infrastructure review; close critical/high findings with regression evidence.</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0.98</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Clean isolated acceptance: 101 browser passes, 1 planned skip, 6 DB checks (5 baseline plus bootstrap transaction acceptance) and 101-route sweep with zero issues. Check, lint and build pass; max First Load JS 128 KB. Dealer/service and expiry cases pass; first-admin CLI is verified separately without modifying production accounts.</x:v>
      </x:c>
      <x:c r="O181" s="136" t="str">
        <x:v>Next: controlled backend failure/retry recovery, deeper conditional/edge cases and live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a96704b production build has maximum First Load JS 128 KB, below 150 KB. Production media/Web Vitals and representative query/load acceptance remain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Cloudflare adapter exists under JW-083, but no durable staging/production media service is verified. Local storage is development-only; private/signed Cloudflare delivery is an unresolved implementation gate.</x:v>
      </x:c>
      <x:c r="O196" s="136" t="str">
        <x:v>Complete JW-083 private delivery and configure durable storage; verify upload/read/delete across deployment and 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78aafc563f104f5c"/>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alert preferences and deduplicated match outbox exist; delivery worker, templates, retry/control and full matching acceptance remain.</x:v>
      </x:c>
      <x:c r="F17" s="141" t="str">
        <x:v>Automated matching/overflow/deduplication and delivered-email acceptance pass with configured provider/scheduler.</x:v>
      </x:c>
      <x:c r="G17" s="141" t="str">
        <x:v>Partially Implemented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Local hardening has started: upload ownership/privacy, action authorization and cleanup. Production DB/media/backups/cron/logs/domain, formal security/load and live acceptance remain open.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56a701ced3464cf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isolated migrations/seed and CI run 37 on a96704b</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5152192ca2dd497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73c6da61f479410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