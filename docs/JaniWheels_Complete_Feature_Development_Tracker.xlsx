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1b0812a90104930" /></Relationships>
</file>

<file path=xl/workbook.xml><?xml version="1.0" encoding="utf-8"?>
<x:workbook xmlns:x="http://schemas.openxmlformats.org/spreadsheetml/2006/main">
  <x:sheets>
    <x:sheet xmlns:r="http://schemas.openxmlformats.org/officeDocument/2006/relationships" name="Dashboard" sheetId="1" r:id="Rce77cd41a2e34245"/>
    <x:sheet xmlns:r="http://schemas.openxmlformats.org/officeDocument/2006/relationships" name="Governance &amp; Usage" sheetId="2" r:id="R8dd8b80b84ee45f4"/>
    <x:sheet xmlns:r="http://schemas.openxmlformats.org/officeDocument/2006/relationships" name="Feature Tracker" sheetId="3" r:id="Rc8f1be3fd49049a9"/>
    <x:sheet xmlns:r="http://schemas.openxmlformats.org/officeDocument/2006/relationships" name="Development Roadmap" sheetId="4" r:id="R24fff1d2176846a6"/>
    <x:sheet xmlns:r="http://schemas.openxmlformats.org/officeDocument/2006/relationships" name="Test Matrix" sheetId="5" r:id="R9ad9185b9ed940dd"/>
    <x:sheet xmlns:r="http://schemas.openxmlformats.org/officeDocument/2006/relationships" name="Scope Guardrails" sheetId="6" r:id="R0bf6326441dc46d0"/>
    <x:sheet xmlns:r="http://schemas.openxmlformats.org/officeDocument/2006/relationships" name="Lists" sheetId="7" r:id="R2d757358e30442a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b2f5f4d3334a25" /><Relationship Type="http://schemas.openxmlformats.org/officeDocument/2006/relationships/theme" Target="/xl/theme/theme1.xml" Id="R94721ed211ba4e1c" /><Relationship Type="http://schemas.openxmlformats.org/officeDocument/2006/relationships/sharedStrings" Target="/xl/sharedStrings.xml" Id="Rff595b3baf2d4f3b" /><Relationship Type="http://schemas.openxmlformats.org/officeDocument/2006/relationships/worksheet" Target="/xl/worksheets/sheet1.xml" Id="Rce77cd41a2e34245" /><Relationship Type="http://schemas.openxmlformats.org/officeDocument/2006/relationships/worksheet" Target="/xl/worksheets/sheet2.xml" Id="R8dd8b80b84ee45f4" /><Relationship Type="http://schemas.openxmlformats.org/officeDocument/2006/relationships/worksheet" Target="/xl/worksheets/sheet3.xml" Id="Rc8f1be3fd49049a9" /><Relationship Type="http://schemas.openxmlformats.org/officeDocument/2006/relationships/worksheet" Target="/xl/worksheets/sheet4.xml" Id="R24fff1d2176846a6" /><Relationship Type="http://schemas.openxmlformats.org/officeDocument/2006/relationships/worksheet" Target="/xl/worksheets/sheet5.xml" Id="R9ad9185b9ed940dd" /><Relationship Type="http://schemas.openxmlformats.org/officeDocument/2006/relationships/worksheet" Target="/xl/worksheets/sheet6.xml" Id="R0bf6326441dc46d0" /><Relationship Type="http://schemas.openxmlformats.org/officeDocument/2006/relationships/worksheet" Target="/xl/worksheets/sheet7.xml" Id="R2d757358e30442ad" /></Relationships>
</file>

<file path=xl/drawings/_rels/drawing1.xml.rels>&#65279;<?xml version="1.0" encoding="utf-8"?><Relationships xmlns="http://schemas.openxmlformats.org/package/2006/relationships"><Relationship Type="http://schemas.openxmlformats.org/officeDocument/2006/relationships/chart" Target="/xl/drawings/charts/chart1.xml" Id="R6b5f9bbf7aff4cd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5f9bbf7aff4cd2"/>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143b1fee95343c3" /></Relationships>
</file>

<file path=xl/worksheets/_rels/sheet3.xml.rels>&#65279;<?xml version="1.0" encoding="utf-8"?><Relationships xmlns="http://schemas.openxmlformats.org/package/2006/relationships"><Relationship Type="http://schemas.openxmlformats.org/officeDocument/2006/relationships/table" Target="/xl/tables/table1.xml" Id="Rdeb9b895c7264867" /></Relationships>
</file>

<file path=xl/worksheets/_rels/sheet4.xml.rels>&#65279;<?xml version="1.0" encoding="utf-8"?><Relationships xmlns="http://schemas.openxmlformats.org/package/2006/relationships"><Relationship Type="http://schemas.openxmlformats.org/officeDocument/2006/relationships/table" Target="/xl/tables/table2.xml" Id="Raa62385ffe4447ff" /></Relationships>
</file>

<file path=xl/worksheets/_rels/sheet5.xml.rels>&#65279;<?xml version="1.0" encoding="utf-8"?><Relationships xmlns="http://schemas.openxmlformats.org/package/2006/relationships"><Relationship Type="http://schemas.openxmlformats.org/officeDocument/2006/relationships/table" Target="/xl/tables/table3.xml" Id="R4211c38cbb94489b" /></Relationships>
</file>

<file path=xl/worksheets/_rels/sheet6.xml.rels>&#65279;<?xml version="1.0" encoding="utf-8"?><Relationships xmlns="http://schemas.openxmlformats.org/package/2006/relationships"><Relationship Type="http://schemas.openxmlformats.org/officeDocument/2006/relationships/table" Target="/xl/tables/table4.xml" Id="Rcdab0bcae51d496b"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Latest local checks passed; see current PR checks for CI</x:v>
      </x:c>
      <x:c r="G5" s="92" t="str">
        <x:v>Current branch</x:v>
      </x:c>
      <x:c r="H5" s="93" t="str">
        <x:v>codex/launch-quality-system; PR #6</x:v>
      </x:c>
      <x:c r="I5" s="93"/>
      <x:c r="J5" s="94"/>
    </x:row>
    <x:row r="6" ht="16.799999237060547" hidden="0" customHeight="1">
      <x:c r="A6" s="95" t="str">
        <x:v>Completed</x:v>
      </x:c>
      <x:c r="B6" s="96" t="n">
        <x:f>COUNTIF('Feature Tracker'!$F$5:$F$215,"Completed")</x:f>
        <x:v>154</x:v>
      </x:c>
      <x:c r="C6" s="88"/>
      <x:c r="D6" s="97" t="str">
        <x:v>Lint</x:v>
      </x:c>
      <x:c r="E6" s="98" t="str">
        <x:v>Passed</x:v>
      </x:c>
      <x:c r="F6" s="99" t="str">
        <x:v>No local warnings/errors; see current PR checks for CI</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current head CI governs review</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Cloudflare private delivery, alert worker and retention</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6 DB checks; live deployment acceptance open</x:v>
      </x:c>
      <x:c r="G9" s="97" t="str">
        <x:v>Browser QA</x:v>
      </x:c>
      <x:c r="H9" s="98" t="str">
        <x:v>101 baseline + 3 recovery passes; 1 planned skip</x:v>
      </x:c>
      <x:c r="I9" s="98"/>
      <x:c r="J9" s="99"/>
    </x:row>
    <x:row r="10" ht="39.599998474121094" hidden="0" customHeight="1">
      <x:c r="A10" s="95" t="str">
        <x:v>Pending</x:v>
      </x:c>
      <x:c r="B10" s="96" t="n">
        <x:f>COUNTIF('Feature Tracker'!$F$5:$F$215,"Pending")</x:f>
        <x:v>11</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0.9079500000000003</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11</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101 ordinary browser passes + 3 targeted recovery passes (separate runs), 1 planned skip; 6 DB checks; latest sweep 103 URLs, zero issues. Check/lint/final build pass; max First Load JS 128 KB. Initial-admin bootstrap and database-failure recovery verified. PR review and production acceptance remain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Next: Cloudflare private delivery, email-alert worker and retention/configuration. Production providers, load, slow-network and real-device acceptance remain open.</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0143b1fee95343c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101 ordinary browser passes + 3 targeted recovery passes (separate runs), 1 planned skip; 6 DB checks; latest sweep 103 URLs, zero issues. Check/lint/final build pass; max First Load JS 128 KB. Each package includes the updated master tracker and is committed/pushed. Production admin provisioning, providers, privacy, alerts, retention and live launch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Environment template now documents local/Cloudflare media and rejects unsupported provider values. a96704b moves local storage outside public/. The template still refers to a missing src/lib/env.ts and unused/future settings; comprehensive startup validation is not implemented.</x:v>
      </x:c>
      <x:c r="O10" s="136" t="str">
        <x:v>Audit documented variables against consumers and implement safe startup validation for required deployment settings.</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0.8</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Six isolated PostgreSQL checks now include first-admin dry run, eligibility, audit-failure rollback, concurrent first-admin attempts, idempotency and session revocation, alongside reference/facet/rate-limit/upload-claim checks. Browser authorization cases also preserve DB/audit state.</x:v>
      </x:c>
      <x:c r="O16" s="136" t="str">
        <x:v>Extend transaction fault/concurrency checks to remaining moderation/service and delivery workflows.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101 ordinary browser passes + 3 targeted recovery passes (separate runs), 1 planned skip; 6 DB checks; latest sweep 103 URLs, zero issues. Check/lint/final build pass; max First Load JS 128 KB. Framework awaits PR #6 review; current head CI is authoritative.</x:v>
      </x:c>
      <x:c r="O17" s="136" t="str">
        <x:v>Review PR #6; retain regression coverage. Track additional cases in JW-177 rather than reopening the test-framework implementation.</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Reviewed estimate 90%: owner-approved homepage merged via PR #5; automated desktop/mobile route checks and iPhone WebKit smoke pass, including overflow checks. Broader tablet, real-device, keyboard/camera and slow-network visual acceptance remains open.</x:v>
      </x:c>
      <x:c r="O39" s="136" t="str">
        <x:v>Complete remaining tablet/real-device visual review and record issues by route.</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upload/delete adapter and direct delivery URLs exist. a96704b protects local reads only; Cloudflare private/signed delivery is not implemented or verified. Live upload/display/delete and configuration failure acceptance remain open.</x:v>
      </x:c>
      <x:c r="O87" s="136" t="str">
        <x:v>Implement provider-appropriate private delivery before production use; configure staging and verify media lifecycle.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Uploaded images are re-encoded as WebP. Local media now uses direct unoptimized no-store requests to preserve authorization; static site images retain Next optimization. Cloudflare width delivery exists but production dimensions, bandwidth and visual quality are unverified.</x:v>
      </x:c>
      <x:c r="O89" s="136" t="str">
        <x:v>Verify production image transformations and private delivery together; measure mobile media bandwidth/LCP.</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Partially Implemented</x:v>
      </x:c>
      <x:c r="G133" s="137" t="n">
        <x:v>0.4</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Reviewed estimate 40%: saved-search alert preferences and authenticated matching cron exist; unique outbox records deduplicate listing/search pairs. No delivery worker/template or delivered_at updater was found. Matching currently reads the first result page, so overflow and retry correctness need acceptance.</x:v>
      </x:c>
      <x:c r="O133" s="136" t="str">
        <x:v>Implement delivery worker, email template/retry/control flow and complete matching/overflow/deduplication tests, then configure provider and scheduler.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Directory/storefront code and route/accessibility checks pass; admin verification/revocation changes public badges with DB audit assertions. Exact inventory-count, mixed-state and pagination checks remain open.</x:v>
      </x:c>
      <x:c r="O135" s="136" t="str">
        <x:v>Complete T-032 with deterministic mixed-status dealer inventory.</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x:v>
      </x:c>
      <x:c r="H175" s="136" t="str">
        <x:v>High</x:v>
      </x:c>
      <x:c r="I175" s="136" t="str">
        <x:v>Stage 6</x:v>
      </x:c>
      <x:c r="J175" s="136" t="str">
        <x:v>Backend</x:v>
      </x:c>
      <x:c r="K175" s="136" t="str">
        <x:v>Privacy policy and operations</x:v>
      </x:c>
      <x:c r="L175" s="136" t="str">
        <x:v>Retention schedule and deletion workflows are documented and executable.</x:v>
      </x:c>
      <x:c r="M175" s="136" t="str">
        <x:v>Retention job; account deletion; backup implications</x:v>
      </x:c>
      <x:c r="N175" s="136" t="str">
        <x:v>Reviewed estimate 30%: purge-expired removes expired sessions, reset/verification tokens, old rate-limit buckets and abandoned uploads. Orphan storage cleanup has browser/DB acceptance. Account/report/service-record retention, deletion tooling and backup implications remain undefined/incomplete.</x:v>
      </x:c>
      <x:c r="O175" s="136" t="str">
        <x:v>Document retention decisions and implement account/report/service deletion workflows; verify backup handling and scheduled execution.</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0.4</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Reviewed estimate 40%: local review/regressions cover ownership, admin replay, upload content/origin/rate limits, private local reads and dependency audit. CI run 37 passes. Formal infrastructure assessment, remaining action negatives and Cloudflare privacy are not complete; this is not launch security sign-off.</x:v>
      </x:c>
      <x:c r="O176" s="136" t="str">
        <x:v>Finish dealer/service/private-provider assessment and infrastructure review; close critical/high findings with regression evidence.</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101 ordinary browser passes + 3 targeted recovery passes (separate runs), 1 planned skip; 6 DB checks; latest sweep 103 URLs, zero issues. Check/lint/final build pass; max First Load JS 128 KB. Recovery project is isolated after normal browser projects; forced database failure is restored in cleanup.</x:v>
      </x:c>
      <x:c r="O181" s="136" t="str">
        <x:v>Remaining conditional/edge, provider, slow-network and live-device acceptance; CI on latest head governs PR review.</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a96704b production build has maximum First Load JS 128 KB, below 150 KB. Production media/Web Vitals and representative query/load acceptance remain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Cloudflare adapter exists under JW-083, but no durable staging/production media service is verified. Local storage is development-only; private/signed Cloudflare delivery is an unresolved implementation gate.</x:v>
      </x:c>
      <x:c r="O196" s="136" t="str">
        <x:v>Complete JW-083 private delivery and configure durable storage; verify upload/read/delete across deployment and 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deb9b895c7264867"/>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alert preferences and deduplicated match outbox exist; delivery worker, templates, retry/control and full matching acceptance remain.</x:v>
      </x:c>
      <x:c r="F17" s="141" t="str">
        <x:v>Automated matching/overflow/deduplication and delivered-email acceptance pass with configured provider/scheduler.</x:v>
      </x:c>
      <x:c r="G17" s="141" t="str">
        <x:v>Partially Implemented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Local hardening has started: upload ownership/privacy, action authorization and cleanup. Production DB/media/backups/cron/logs/domain, formal security/load and live acceptance remain open.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aa62385ffe4447f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isolated migrations/seed and CI run 37 on a96704b</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4211c38cbb94489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cdab0bcae51d496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