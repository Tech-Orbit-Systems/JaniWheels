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063313f94bc49dd" /></Relationships>
</file>

<file path=xl/workbook.xml><?xml version="1.0" encoding="utf-8"?>
<x:workbook xmlns:x="http://schemas.openxmlformats.org/spreadsheetml/2006/main">
  <x:sheets>
    <x:sheet xmlns:r="http://schemas.openxmlformats.org/officeDocument/2006/relationships" name="Dashboard" sheetId="1" r:id="Rccbf8fe74e0c4d57"/>
    <x:sheet xmlns:r="http://schemas.openxmlformats.org/officeDocument/2006/relationships" name="Governance &amp; Usage" sheetId="2" r:id="R1cb305b1849c4049"/>
    <x:sheet xmlns:r="http://schemas.openxmlformats.org/officeDocument/2006/relationships" name="Feature Tracker" sheetId="3" r:id="R0e611caff5e54e9c"/>
    <x:sheet xmlns:r="http://schemas.openxmlformats.org/officeDocument/2006/relationships" name="Development Roadmap" sheetId="4" r:id="R5492dd8b08d1440a"/>
    <x:sheet xmlns:r="http://schemas.openxmlformats.org/officeDocument/2006/relationships" name="Test Matrix" sheetId="5" r:id="R93ea17b2712d410f"/>
    <x:sheet xmlns:r="http://schemas.openxmlformats.org/officeDocument/2006/relationships" name="Scope Guardrails" sheetId="6" r:id="Rb2f5dab66f2e4018"/>
    <x:sheet xmlns:r="http://schemas.openxmlformats.org/officeDocument/2006/relationships" name="Lists" sheetId="7" r:id="R273d74f389eb4df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
  </x:numFmts>
  <x:fonts count="28">
    <x:font>
      <x:sz val="11"/>
      <x:name val="Carlito"/>
    </x:font>
    <x:font>
      <x:b/>
      <x:sz val="11"/>
      <x:color rgb="FFFFFFFF"/>
      <x:name val="Carlito"/>
    </x:font>
    <x:font>
      <x:b/>
      <x:sz val="18"/>
      <x:color rgb="FFFFFFFF"/>
      <x:name val="Carlito"/>
    </x:font>
    <x:font>
      <x:i/>
      <x:sz val="10"/>
      <x:color rgb="FFE7E7E7"/>
      <x:name val="Carlito"/>
    </x:font>
    <x:font>
      <x:b/>
      <x:sz val="11"/>
      <x:color rgb="FF101214"/>
      <x:name val="Carlito"/>
    </x:font>
    <x:font>
      <x:sz val="9"/>
      <x:color rgb="FF222222"/>
      <x:name val="Carlito"/>
    </x:font>
    <x:font>
      <x:b/>
      <x:sz val="20"/>
      <x:color rgb="FFFFFFFF"/>
      <x:name val="Carlito"/>
    </x:font>
    <x:font>
      <x:sz val="10"/>
      <x:color rgb="FFDDDDDD"/>
      <x:name val="Carlito"/>
    </x:font>
    <x:font>
      <x:b/>
      <x:sz val="11"/>
      <x:color rgb="FF4D555C"/>
      <x:name val="Carlito"/>
    </x:font>
    <x:font>
      <x:b/>
      <x:sz val="14"/>
      <x:color rgb="FF101214"/>
      <x:name val="Carlito"/>
    </x:font>
    <x:font>
      <x:b/>
      <x:sz val="11"/>
      <x:color rgb="FFA97700"/>
      <x:name val="Carlito"/>
    </x:font>
    <x:font>
      <x:b/>
      <x:sz val="11"/>
      <x:name val="Carlito"/>
    </x:font>
    <x:font>
      <x:b/>
      <x:sz val="19"/>
      <x:color rgb="FFFFFFFF"/>
      <x:name val="Carlito"/>
    </x:font>
    <x:font>
      <x:i/>
      <x:sz val="11"/>
      <x:color rgb="FFDDDDDD"/>
      <x:name val="Carlito"/>
    </x:font>
    <x:font>
      <x:b/>
      <x:sz val="20"/>
      <x:color rgb="FFFFFFFF"/>
      <x:name val="Aptos"/>
    </x:font>
    <x:font>
      <x:sz val="10"/>
      <x:color rgb="FFDDDDDD"/>
      <x:name val="Aptos"/>
    </x:font>
    <x:font>
      <x:sz val="11"/>
      <x:name val="Aptos"/>
    </x:font>
    <x:font>
      <x:b/>
      <x:sz val="11"/>
      <x:color rgb="FF101214"/>
      <x:name val="Aptos"/>
    </x:font>
    <x:font>
      <x:b/>
      <x:sz val="11"/>
      <x:color rgb="FF4D555C"/>
      <x:name val="Aptos"/>
    </x:font>
    <x:font>
      <x:b/>
      <x:sz val="14"/>
      <x:color rgb="FF101214"/>
      <x:name val="Aptos"/>
    </x:font>
    <x:font>
      <x:b/>
      <x:sz val="11"/>
      <x:color rgb="FFFFFFFF"/>
      <x:name val="Aptos"/>
    </x:font>
    <x:font>
      <x:b/>
      <x:sz val="11"/>
      <x:color rgb="FFA97700"/>
      <x:name val="Aptos"/>
    </x:font>
    <x:font>
      <x:b/>
      <x:sz val="11"/>
      <x:name val="Aptos"/>
    </x:font>
    <x:font>
      <x:b/>
      <x:sz val="19"/>
      <x:color rgb="FFFFFFFF"/>
      <x:name val="Aptos"/>
    </x:font>
    <x:font>
      <x:i/>
      <x:sz val="10"/>
      <x:color rgb="FFE7E7E7"/>
      <x:name val="Aptos"/>
    </x:font>
    <x:font>
      <x:b/>
      <x:sz val="18"/>
      <x:color rgb="FFFFFFFF"/>
      <x:name val="Aptos"/>
    </x:font>
    <x:font>
      <x:sz val="9"/>
      <x:color rgb="FF222222"/>
      <x:name val="Aptos"/>
    </x:font>
    <x:font>
      <x:i/>
      <x:sz val="11"/>
      <x:color rgb="FFDDDDDD"/>
      <x:name val="Aptos"/>
    </x:font>
  </x:fonts>
  <x:fills count="6">
    <x:fill>
      <x:patternFill patternType="none"/>
    </x:fill>
    <x:fill>
      <x:patternFill patternType="gray125"/>
    </x:fill>
    <x:fill>
      <x:patternFill patternType="solid">
        <x:fgColor rgb="FF101214"/>
      </x:patternFill>
    </x:fill>
    <x:fill>
      <x:patternFill patternType="solid">
        <x:fgColor rgb="FF202327"/>
      </x:patternFill>
    </x:fill>
    <x:fill>
      <x:patternFill patternType="solid">
        <x:fgColor rgb="FFF7B500"/>
      </x:patternFill>
    </x:fill>
    <x:fill>
      <x:patternFill patternType="solid">
        <x:fgColor rgb="FFFFFFFF"/>
      </x:patternFill>
    </x:fill>
  </x:fills>
  <x:borders count="14">
    <x:border/>
    <x:border>
      <x:left style="thin">
        <x:color rgb="FFD9DDE2"/>
      </x:left>
      <x:top style="thin">
        <x:color rgb="FFD9DDE2"/>
      </x:top>
    </x:border>
    <x:border>
      <x:right style="thin">
        <x:color rgb="FFD9DDE2"/>
      </x:right>
      <x:top style="thin">
        <x:color rgb="FFD9DDE2"/>
      </x:top>
    </x:border>
    <x:border>
      <x:left style="thin">
        <x:color rgb="FFD9DDE2"/>
      </x:left>
    </x:border>
    <x:border>
      <x:right style="thin">
        <x:color rgb="FFD9DDE2"/>
      </x:right>
    </x:border>
    <x:border>
      <x:left style="thin">
        <x:color rgb="FFD9DDE2"/>
      </x:left>
      <x:bottom style="thin">
        <x:color rgb="FFD9DDE2"/>
      </x:bottom>
    </x:border>
    <x:border>
      <x:right style="thin">
        <x:color rgb="FFD9DDE2"/>
      </x:right>
      <x:bottom style="thin">
        <x:color rgb="FFD9DDE2"/>
      </x:bottom>
    </x:border>
    <x:border>
      <x:top style="thin">
        <x:color rgb="FFD9DDE2"/>
      </x:top>
    </x:border>
    <x:border>
      <x:bottom style="thin">
        <x:color rgb="FFD9DDE2"/>
      </x:bottom>
    </x:border>
    <x:border>
      <x:left style="thin">
        <x:color rgb="FFD9DDE2"/>
      </x:left>
      <x:right style="thin">
        <x:color rgb="FFD9DDE2"/>
      </x:right>
      <x:bottom style="thin">
        <x:color rgb="FFD9DDE2"/>
      </x:bottom>
    </x:border>
    <x:border>
      <x:right style="thin">
        <x:color rgb="FFD9DDE2"/>
      </x:right>
      <x:top style="thin">
        <x:color rgb="FFD9DDE2"/>
      </x:top>
      <x:bottom style="thin">
        <x:color rgb="FFD9DDE2"/>
      </x:bottom>
    </x:border>
    <x:border>
      <x:left style="thin">
        <x:color rgb="FFD9DDE2"/>
      </x:left>
      <x:right style="thin">
        <x:color rgb="FFD9DDE2"/>
      </x:right>
      <x:top style="thin">
        <x:color rgb="FFD9DDE2"/>
      </x:top>
      <x:bottom style="thin">
        <x:color rgb="FFD9DDE2"/>
      </x:bottom>
    </x:border>
    <x:border>
      <x:left style="thin">
        <x:color rgb="FFD9DDE2"/>
      </x:left>
      <x:top style="thin">
        <x:color rgb="FFD9DDE2"/>
      </x:top>
      <x:bottom style="thin">
        <x:color rgb="FFD9DDE2"/>
      </x:bottom>
    </x:border>
    <x:border>
      <x:left style="thin">
        <x:color rgb="FFD9DDE2"/>
      </x:left>
      <x:right style="thin">
        <x:color rgb="FFD9DDE2"/>
      </x:right>
      <x:top style="thin">
        <x:color rgb="FFD9DDE2"/>
      </x:top>
    </x:border>
  </x:borders>
  <x:cellStyleXfs count="1">
    <x:xf numFmtId="0" fontId="0" fillId="0" borderId="0"/>
  </x:cellStyleXfs>
  <x:cellXfs count="143">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vertical="center"/>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4" fillId="4" borderId="0" xfId="0" applyNumberFormat="1" applyFont="1" applyFill="1" applyBorder="1" applyAlignment="1">
      <x:alignment vertical="center" wrapText="1"/>
    </x:xf>
    <x:xf numFmtId="0" fontId="5" fillId="0" borderId="0" xfId="0" applyNumberFormat="1" applyFont="1" applyFill="1" applyBorder="1"/>
    <x:xf numFmtId="0" fontId="5" fillId="0" borderId="0" xfId="0" applyNumberFormat="1" applyFont="1" applyFill="1" applyBorder="1" applyAlignment="1">
      <x:alignment vertical="top"/>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4" fillId="4" borderId="0" xfId="0" applyNumberFormat="1" applyFont="1" applyFill="1" applyBorder="1" applyAlignment="1">
      <x:alignment horizontal="center"/>
    </x:xf>
    <x:xf numFmtId="200" fontId="0" fillId="0" borderId="0" xfId="0" applyNumberFormat="1" applyFont="1" applyFill="1" applyBorder="1"/>
    <x:xf numFmtId="0" fontId="0" fillId="5" borderId="0" xfId="0" applyNumberFormat="1" applyFont="1" applyFill="1" applyBorder="1"/>
    <x:xf numFmtId="200" fontId="0" fillId="5" borderId="0" xfId="0" applyNumberFormat="1" applyFont="1" applyFill="1" applyBorder="1"/>
    <x:xf numFmtId="0" fontId="0" fillId="5" borderId="1" xfId="0" applyNumberFormat="1" applyFont="1" applyFill="1" applyBorder="1"/>
    <x:xf numFmtId="0" fontId="0" fillId="5" borderId="2" xfId="0" applyNumberFormat="1" applyFont="1" applyFill="1" applyBorder="1"/>
    <x:xf numFmtId="0" fontId="0" fillId="5" borderId="3" xfId="0" applyNumberFormat="1" applyFont="1" applyFill="1" applyBorder="1"/>
    <x:xf numFmtId="0" fontId="0" fillId="5" borderId="4" xfId="0" applyNumberFormat="1" applyFont="1" applyFill="1" applyBorder="1"/>
    <x:xf numFmtId="0" fontId="0" fillId="5" borderId="5" xfId="0" applyNumberFormat="1" applyFont="1" applyFill="1" applyBorder="1"/>
    <x:xf numFmtId="200" fontId="0" fillId="5" borderId="6" xfId="0" applyNumberFormat="1" applyFont="1" applyFill="1" applyBorder="1"/>
    <x:xf numFmtId="0" fontId="8" fillId="5" borderId="1" xfId="0" applyNumberFormat="1" applyFont="1" applyFill="1" applyBorder="1"/>
    <x:xf numFmtId="0" fontId="8" fillId="5" borderId="3" xfId="0" applyNumberFormat="1" applyFont="1" applyFill="1" applyBorder="1"/>
    <x:xf numFmtId="0" fontId="8" fillId="5" borderId="5" xfId="0" applyNumberFormat="1" applyFont="1" applyFill="1" applyBorder="1"/>
    <x:xf numFmtId="0" fontId="9" fillId="5" borderId="2" xfId="0" applyNumberFormat="1" applyFont="1" applyFill="1" applyBorder="1"/>
    <x:xf numFmtId="0" fontId="9" fillId="5" borderId="4" xfId="0" applyNumberFormat="1" applyFont="1" applyFill="1" applyBorder="1"/>
    <x:xf numFmtId="200" fontId="9" fillId="5" borderId="6" xfId="0" applyNumberFormat="1" applyFont="1" applyFill="1" applyBorder="1"/>
    <x:xf numFmtId="0" fontId="0" fillId="5" borderId="7" xfId="0" applyNumberFormat="1" applyFont="1" applyFill="1" applyBorder="1"/>
    <x:xf numFmtId="0" fontId="0" fillId="5" borderId="8" xfId="0" applyNumberFormat="1" applyFont="1" applyFill="1" applyBorder="1"/>
    <x:xf numFmtId="0" fontId="0" fillId="5" borderId="6" xfId="0" applyNumberFormat="1" applyFont="1" applyFill="1" applyBorder="1"/>
    <x:xf numFmtId="0" fontId="0" fillId="5" borderId="1" xfId="0" applyNumberFormat="1" applyFont="1" applyFill="1" applyBorder="1" applyAlignment="1">
      <x:alignment wrapText="1"/>
    </x:xf>
    <x:xf numFmtId="0" fontId="0" fillId="5" borderId="7" xfId="0" applyNumberFormat="1" applyFont="1" applyFill="1" applyBorder="1" applyAlignment="1">
      <x:alignment wrapText="1"/>
    </x:xf>
    <x:xf numFmtId="0" fontId="0" fillId="5" borderId="2" xfId="0" applyNumberFormat="1" applyFont="1" applyFill="1" applyBorder="1" applyAlignment="1">
      <x:alignment wrapText="1"/>
    </x:xf>
    <x:xf numFmtId="0" fontId="0" fillId="5" borderId="3" xfId="0" applyNumberFormat="1" applyFont="1" applyFill="1" applyBorder="1" applyAlignment="1">
      <x:alignment wrapText="1"/>
    </x:xf>
    <x:xf numFmtId="0" fontId="0" fillId="5" borderId="0" xfId="0" applyNumberFormat="1" applyFont="1" applyFill="1" applyBorder="1" applyAlignment="1">
      <x:alignment wrapText="1"/>
    </x:xf>
    <x:xf numFmtId="0" fontId="0" fillId="5" borderId="4" xfId="0" applyNumberFormat="1" applyFont="1" applyFill="1" applyBorder="1" applyAlignment="1">
      <x:alignment wrapText="1"/>
    </x:xf>
    <x:xf numFmtId="0" fontId="0" fillId="5" borderId="5" xfId="0" applyNumberFormat="1" applyFont="1" applyFill="1" applyBorder="1" applyAlignment="1">
      <x:alignment wrapText="1"/>
    </x:xf>
    <x:xf numFmtId="0" fontId="0" fillId="5" borderId="8" xfId="0" applyNumberFormat="1" applyFont="1" applyFill="1" applyBorder="1" applyAlignment="1">
      <x:alignment wrapText="1"/>
    </x:xf>
    <x:xf numFmtId="0" fontId="0" fillId="5" borderId="6" xfId="0" applyNumberFormat="1" applyFont="1" applyFill="1" applyBorder="1" applyAlignment="1">
      <x:alignment wrapText="1"/>
    </x:xf>
    <x:xf numFmtId="0" fontId="8" fillId="5" borderId="1" xfId="0" applyNumberFormat="1" applyFont="1" applyFill="1" applyBorder="1" applyAlignment="1">
      <x:alignment wrapText="1"/>
    </x:xf>
    <x:xf numFmtId="0" fontId="8" fillId="5" borderId="3" xfId="0" applyNumberFormat="1" applyFont="1" applyFill="1" applyBorder="1" applyAlignment="1">
      <x:alignment wrapText="1"/>
    </x:xf>
    <x:xf numFmtId="0" fontId="8" fillId="5" borderId="5" xfId="0" applyNumberFormat="1" applyFont="1" applyFill="1" applyBorder="1" applyAlignment="1">
      <x:alignment wrapText="1"/>
    </x:xf>
    <x:xf numFmtId="0" fontId="0" fillId="5" borderId="9" xfId="0" applyNumberFormat="1" applyFont="1" applyFill="1" applyBorder="1"/>
    <x:xf numFmtId="0" fontId="0" fillId="5" borderId="10" xfId="0" applyNumberFormat="1" applyFont="1" applyFill="1" applyBorder="1"/>
    <x:xf numFmtId="0" fontId="0" fillId="5" borderId="11" xfId="0" applyNumberFormat="1" applyFont="1" applyFill="1" applyBorder="1"/>
    <x:xf numFmtId="0" fontId="0" fillId="5" borderId="12" xfId="0" applyNumberFormat="1" applyFont="1" applyFill="1" applyBorder="1"/>
    <x:xf numFmtId="0" fontId="0" fillId="5" borderId="13" xfId="0" applyNumberFormat="1" applyFont="1" applyFill="1" applyBorder="1"/>
    <x:xf numFmtId="0" fontId="0" fillId="5" borderId="9" xfId="0" applyNumberFormat="1" applyFont="1" applyFill="1" applyBorder="1" applyAlignment="1">
      <x:alignment wrapText="1"/>
    </x:xf>
    <x:xf numFmtId="0" fontId="0" fillId="5" borderId="10" xfId="0" applyNumberFormat="1" applyFont="1" applyFill="1" applyBorder="1" applyAlignment="1">
      <x:alignment wrapText="1"/>
    </x:xf>
    <x:xf numFmtId="0" fontId="0" fillId="5" borderId="11" xfId="0" applyNumberFormat="1" applyFont="1" applyFill="1" applyBorder="1" applyAlignment="1">
      <x:alignment wrapText="1"/>
    </x:xf>
    <x:xf numFmtId="0" fontId="0" fillId="5" borderId="12" xfId="0" applyNumberFormat="1" applyFont="1" applyFill="1" applyBorder="1" applyAlignment="1">
      <x:alignment wrapText="1"/>
    </x:xf>
    <x:xf numFmtId="0" fontId="0" fillId="5" borderId="13" xfId="0" applyNumberFormat="1" applyFont="1" applyFill="1" applyBorder="1" applyAlignment="1">
      <x:alignment wrapText="1"/>
    </x:xf>
    <x:xf numFmtId="0" fontId="10" fillId="5" borderId="6" xfId="0" applyNumberFormat="1" applyFont="1" applyFill="1" applyBorder="1" applyAlignment="1">
      <x:alignment wrapText="1"/>
    </x:xf>
    <x:xf numFmtId="0" fontId="10" fillId="5" borderId="10" xfId="0" applyNumberFormat="1" applyFont="1" applyFill="1" applyBorder="1" applyAlignment="1">
      <x:alignment wrapText="1"/>
    </x:xf>
    <x:xf numFmtId="0" fontId="10" fillId="5" borderId="2" xfId="0" applyNumberFormat="1" applyFont="1" applyFill="1" applyBorder="1" applyAlignment="1">
      <x:alignment wrapText="1"/>
    </x:xf>
    <x:xf numFmtId="0" fontId="11" fillId="5" borderId="9" xfId="0" applyNumberFormat="1" applyFont="1" applyFill="1" applyBorder="1" applyAlignment="1">
      <x:alignment wrapText="1"/>
    </x:xf>
    <x:xf numFmtId="0" fontId="11" fillId="5" borderId="11" xfId="0" applyNumberFormat="1" applyFont="1" applyFill="1" applyBorder="1" applyAlignment="1">
      <x:alignment wrapText="1"/>
    </x:xf>
    <x:xf numFmtId="0" fontId="11" fillId="5" borderId="13" xfId="0" applyNumberFormat="1" applyFont="1" applyFill="1" applyBorder="1" applyAlignment="1">
      <x:alignment wrapText="1"/>
    </x:xf>
    <x:xf numFmtId="0" fontId="12" fillId="2" borderId="0" xfId="0" applyNumberFormat="1" applyFont="1" applyFill="1" applyBorder="1"/>
    <x:xf numFmtId="0" fontId="12" fillId="2" borderId="0" xfId="0" applyNumberFormat="1" applyFont="1" applyFill="1" applyBorder="1" applyAlignment="1">
      <x:alignment vertical="center"/>
    </x:xf>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4" borderId="0" xfId="0" applyNumberFormat="1" applyFont="1" applyFill="1" applyBorder="1" applyAlignment="1">
      <x:alignment vertical="center"/>
    </x:xf>
    <x:xf numFmtId="0" fontId="0" fillId="5" borderId="6" xfId="0" applyNumberFormat="1" applyFont="1" applyFill="1" applyBorder="1" applyAlignment="1">
      <x:alignment vertical="top" wrapText="1"/>
    </x:xf>
    <x:xf numFmtId="0" fontId="0" fillId="5" borderId="9" xfId="0" applyNumberFormat="1" applyFont="1" applyFill="1" applyBorder="1" applyAlignment="1">
      <x:alignment vertical="top" wrapText="1"/>
    </x:xf>
    <x:xf numFmtId="0" fontId="0" fillId="5" borderId="5"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11"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2" xfId="0" applyNumberFormat="1" applyFont="1" applyFill="1" applyBorder="1" applyAlignment="1">
      <x:alignment vertical="top" wrapText="1"/>
    </x:xf>
    <x:xf numFmtId="0" fontId="0" fillId="5" borderId="13"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8" fillId="5" borderId="6" xfId="0" applyNumberFormat="1" applyFont="1" applyFill="1" applyBorder="1" applyAlignment="1">
      <x:alignment vertical="top" wrapText="1"/>
    </x:xf>
    <x:xf numFmtId="0" fontId="8" fillId="5" borderId="10" xfId="0" applyNumberFormat="1" applyFont="1" applyFill="1" applyBorder="1" applyAlignment="1">
      <x:alignment vertical="top" wrapText="1"/>
    </x:xf>
    <x:xf numFmtId="0" fontId="8" fillId="5" borderId="2" xfId="0" applyNumberFormat="1" applyFont="1" applyFill="1" applyBorder="1" applyAlignment="1">
      <x:alignment vertical="top" wrapText="1"/>
    </x:xf>
    <x:xf numFmtId="0" fontId="13" fillId="3" borderId="0" xfId="0" applyNumberFormat="1" applyFont="1" applyFill="1" applyBorder="1"/>
    <x:xf numFmtId="0" fontId="0" fillId="0" borderId="0" xfId="0" applyNumberFormat="1" applyFont="1" applyFill="1" applyBorder="1" applyAlignment="1">
      <x:alignment wrapText="1"/>
    </x:xf>
    <x:xf numFmtId="0" fontId="14" fillId="2" borderId="0" xfId="0" applyNumberFormat="1" applyFont="1" applyFill="1" applyBorder="1" applyAlignment="1">
      <x:alignment vertical="center"/>
    </x:xf>
    <x:xf numFmtId="0" fontId="15" fillId="3" borderId="0" xfId="0" applyNumberFormat="1" applyFont="1" applyFill="1" applyBorder="1" applyAlignment="1">
      <x:alignment wrapText="1"/>
    </x:xf>
    <x:xf numFmtId="0" fontId="16" fillId="0" borderId="0" xfId="0" applyNumberFormat="1" applyFont="1" applyFill="1" applyBorder="1"/>
    <x:xf numFmtId="0" fontId="17" fillId="4" borderId="0" xfId="0" applyNumberFormat="1" applyFont="1" applyFill="1" applyBorder="1" applyAlignment="1">
      <x:alignment horizontal="center"/>
    </x:xf>
    <x:xf numFmtId="0" fontId="18" fillId="5" borderId="1" xfId="0" applyNumberFormat="1" applyFont="1" applyFill="1" applyBorder="1"/>
    <x:xf numFmtId="0" fontId="19" fillId="5" borderId="2" xfId="0" applyNumberFormat="1" applyFont="1" applyFill="1" applyBorder="1"/>
    <x:xf numFmtId="0" fontId="18" fillId="5" borderId="1" xfId="0" applyNumberFormat="1" applyFont="1" applyFill="1" applyBorder="1" applyAlignment="1">
      <x:alignment wrapText="1"/>
    </x:xf>
    <x:xf numFmtId="0" fontId="16" fillId="5" borderId="7" xfId="0" applyNumberFormat="1" applyFont="1" applyFill="1" applyBorder="1" applyAlignment="1">
      <x:alignment wrapText="1"/>
    </x:xf>
    <x:xf numFmtId="0" fontId="16" fillId="5" borderId="2" xfId="0" applyNumberFormat="1" applyFont="1" applyFill="1" applyBorder="1" applyAlignment="1">
      <x:alignment wrapText="1"/>
    </x:xf>
    <x:xf numFmtId="0" fontId="18" fillId="5" borderId="3" xfId="0" applyNumberFormat="1" applyFont="1" applyFill="1" applyBorder="1"/>
    <x:xf numFmtId="0" fontId="19" fillId="5" borderId="4" xfId="0" applyNumberFormat="1" applyFont="1" applyFill="1" applyBorder="1"/>
    <x:xf numFmtId="0" fontId="18" fillId="5" borderId="3" xfId="0" applyNumberFormat="1" applyFont="1" applyFill="1" applyBorder="1" applyAlignment="1">
      <x:alignment wrapText="1"/>
    </x:xf>
    <x:xf numFmtId="0" fontId="16" fillId="5" borderId="0" xfId="0" applyNumberFormat="1" applyFont="1" applyFill="1" applyBorder="1" applyAlignment="1">
      <x:alignment wrapText="1"/>
    </x:xf>
    <x:xf numFmtId="0" fontId="16" fillId="5" borderId="4" xfId="0" applyNumberFormat="1" applyFont="1" applyFill="1" applyBorder="1" applyAlignment="1">
      <x:alignment wrapText="1"/>
    </x:xf>
    <x:xf numFmtId="0" fontId="18" fillId="5" borderId="5" xfId="0" applyNumberFormat="1" applyFont="1" applyFill="1" applyBorder="1"/>
    <x:xf numFmtId="200" fontId="19" fillId="5" borderId="6" xfId="0" applyNumberFormat="1" applyFont="1" applyFill="1" applyBorder="1"/>
    <x:xf numFmtId="0" fontId="18" fillId="5" borderId="5" xfId="0" applyNumberFormat="1" applyFont="1" applyFill="1" applyBorder="1" applyAlignment="1">
      <x:alignment wrapText="1"/>
    </x:xf>
    <x:xf numFmtId="0" fontId="16" fillId="5" borderId="8" xfId="0" applyNumberFormat="1" applyFont="1" applyFill="1" applyBorder="1" applyAlignment="1">
      <x:alignment wrapText="1"/>
    </x:xf>
    <x:xf numFmtId="0" fontId="16" fillId="5" borderId="6" xfId="0" applyNumberFormat="1" applyFont="1" applyFill="1" applyBorder="1" applyAlignment="1">
      <x:alignment wrapText="1"/>
    </x:xf>
    <x:xf numFmtId="0" fontId="20" fillId="2" borderId="0" xfId="0" applyNumberFormat="1" applyFont="1" applyFill="1" applyBorder="1"/>
    <x:xf numFmtId="0" fontId="16" fillId="5" borderId="9" xfId="0" applyNumberFormat="1" applyFont="1" applyFill="1" applyBorder="1" applyAlignment="1">
      <x:alignment wrapText="1"/>
    </x:xf>
    <x:xf numFmtId="0" fontId="16" fillId="5" borderId="5" xfId="0" applyNumberFormat="1" applyFont="1" applyFill="1" applyBorder="1" applyAlignment="1">
      <x:alignment wrapText="1"/>
    </x:xf>
    <x:xf numFmtId="0" fontId="16" fillId="5" borderId="10" xfId="0" applyNumberFormat="1" applyFont="1" applyFill="1" applyBorder="1" applyAlignment="1">
      <x:alignment wrapText="1"/>
    </x:xf>
    <x:xf numFmtId="0" fontId="16" fillId="5" borderId="11" xfId="0" applyNumberFormat="1" applyFont="1" applyFill="1" applyBorder="1" applyAlignment="1">
      <x:alignment wrapText="1"/>
    </x:xf>
    <x:xf numFmtId="0" fontId="16" fillId="5" borderId="12" xfId="0" applyNumberFormat="1" applyFont="1" applyFill="1" applyBorder="1" applyAlignment="1">
      <x:alignment wrapText="1"/>
    </x:xf>
    <x:xf numFmtId="0" fontId="16" fillId="5" borderId="13" xfId="0" applyNumberFormat="1" applyFont="1" applyFill="1" applyBorder="1" applyAlignment="1">
      <x:alignment wrapText="1"/>
    </x:xf>
    <x:xf numFmtId="0" fontId="16" fillId="5" borderId="1" xfId="0" applyNumberFormat="1" applyFont="1" applyFill="1" applyBorder="1" applyAlignment="1">
      <x:alignment wrapText="1"/>
    </x:xf>
    <x:xf numFmtId="0" fontId="17" fillId="4" borderId="0" xfId="0" applyNumberFormat="1" applyFont="1" applyFill="1" applyBorder="1"/>
    <x:xf numFmtId="0" fontId="21" fillId="5" borderId="6" xfId="0" applyNumberFormat="1" applyFont="1" applyFill="1" applyBorder="1" applyAlignment="1">
      <x:alignment wrapText="1"/>
    </x:xf>
    <x:xf numFmtId="0" fontId="22" fillId="5" borderId="9" xfId="0" applyNumberFormat="1" applyFont="1" applyFill="1" applyBorder="1" applyAlignment="1">
      <x:alignment wrapText="1"/>
    </x:xf>
    <x:xf numFmtId="0" fontId="21" fillId="5" borderId="10" xfId="0" applyNumberFormat="1" applyFont="1" applyFill="1" applyBorder="1" applyAlignment="1">
      <x:alignment wrapText="1"/>
    </x:xf>
    <x:xf numFmtId="0" fontId="22" fillId="5" borderId="11" xfId="0" applyNumberFormat="1" applyFont="1" applyFill="1" applyBorder="1" applyAlignment="1">
      <x:alignment wrapText="1"/>
    </x:xf>
    <x:xf numFmtId="0" fontId="21" fillId="5" borderId="2" xfId="0" applyNumberFormat="1" applyFont="1" applyFill="1" applyBorder="1" applyAlignment="1">
      <x:alignment wrapText="1"/>
    </x:xf>
    <x:xf numFmtId="0" fontId="22" fillId="5" borderId="13" xfId="0" applyNumberFormat="1" applyFont="1" applyFill="1" applyBorder="1" applyAlignment="1">
      <x:alignment wrapText="1"/>
    </x:xf>
    <x:xf numFmtId="0" fontId="23" fillId="2" borderId="0" xfId="0" applyNumberFormat="1" applyFont="1" applyFill="1" applyBorder="1" applyAlignment="1">
      <x:alignment vertical="center"/>
    </x:xf>
    <x:xf numFmtId="0" fontId="24" fillId="3" borderId="0" xfId="0" applyNumberFormat="1" applyFont="1" applyFill="1" applyBorder="1" applyAlignment="1">
      <x:alignment vertical="center" wrapText="1"/>
    </x:xf>
    <x:xf numFmtId="0" fontId="17" fillId="4" borderId="0" xfId="0" applyNumberFormat="1" applyFont="1" applyFill="1" applyBorder="1" applyAlignment="1">
      <x:alignment vertical="center"/>
    </x:xf>
    <x:xf numFmtId="0" fontId="18" fillId="5" borderId="6" xfId="0" applyNumberFormat="1" applyFont="1" applyFill="1" applyBorder="1" applyAlignment="1">
      <x:alignment vertical="top" wrapText="1"/>
    </x:xf>
    <x:xf numFmtId="0" fontId="16" fillId="5" borderId="9" xfId="0" applyNumberFormat="1" applyFont="1" applyFill="1" applyBorder="1" applyAlignment="1">
      <x:alignment vertical="top" wrapText="1"/>
    </x:xf>
    <x:xf numFmtId="0" fontId="16" fillId="5" borderId="5" xfId="0" applyNumberFormat="1" applyFont="1" applyFill="1" applyBorder="1" applyAlignment="1">
      <x:alignment vertical="top" wrapText="1"/>
    </x:xf>
    <x:xf numFmtId="0" fontId="18" fillId="5" borderId="10" xfId="0" applyNumberFormat="1" applyFont="1" applyFill="1" applyBorder="1" applyAlignment="1">
      <x:alignment vertical="top" wrapText="1"/>
    </x:xf>
    <x:xf numFmtId="0" fontId="16" fillId="5" borderId="11" xfId="0" applyNumberFormat="1" applyFont="1" applyFill="1" applyBorder="1" applyAlignment="1">
      <x:alignment vertical="top" wrapText="1"/>
    </x:xf>
    <x:xf numFmtId="0" fontId="16" fillId="5" borderId="12" xfId="0" applyNumberFormat="1" applyFont="1" applyFill="1" applyBorder="1" applyAlignment="1">
      <x:alignment vertical="top" wrapText="1"/>
    </x:xf>
    <x:xf numFmtId="0" fontId="18" fillId="5" borderId="2" xfId="0" applyNumberFormat="1" applyFont="1" applyFill="1" applyBorder="1" applyAlignment="1">
      <x:alignment vertical="top" wrapText="1"/>
    </x:xf>
    <x:xf numFmtId="0" fontId="16" fillId="5" borderId="13" xfId="0" applyNumberFormat="1" applyFont="1" applyFill="1" applyBorder="1" applyAlignment="1">
      <x:alignment vertical="top" wrapText="1"/>
    </x:xf>
    <x:xf numFmtId="0" fontId="16" fillId="5" borderId="1" xfId="0" applyNumberFormat="1" applyFont="1" applyFill="1" applyBorder="1" applyAlignment="1">
      <x:alignment vertical="top" wrapText="1"/>
    </x:xf>
    <x:xf numFmtId="0" fontId="25" fillId="2" borderId="0" xfId="0" applyNumberFormat="1" applyFont="1" applyFill="1" applyBorder="1" applyAlignment="1">
      <x:alignment vertical="center"/>
    </x:xf>
    <x:xf numFmtId="0" fontId="24" fillId="3" borderId="0" xfId="0" applyNumberFormat="1" applyFont="1" applyFill="1" applyBorder="1" applyAlignment="1">
      <x:alignment vertical="center"/>
    </x:xf>
    <x:xf numFmtId="0" fontId="17" fillId="4" borderId="0" xfId="0" applyNumberFormat="1" applyFont="1" applyFill="1" applyBorder="1" applyAlignment="1">
      <x:alignment vertical="center" wrapText="1"/>
    </x:xf>
    <x:xf numFmtId="0" fontId="26" fillId="0" borderId="0" xfId="0" applyNumberFormat="1" applyFont="1" applyFill="1" applyBorder="1" applyAlignment="1">
      <x:alignment vertical="top"/>
    </x:xf>
    <x:xf numFmtId="0" fontId="26" fillId="0" borderId="0" xfId="0" applyNumberFormat="1" applyFont="1" applyFill="1" applyBorder="1" applyAlignment="1">
      <x:alignment vertical="top" wrapText="1"/>
    </x:xf>
    <x:xf numFmtId="200" fontId="26" fillId="0" borderId="0" xfId="0" applyNumberFormat="1" applyFont="1" applyFill="1" applyBorder="1" applyAlignment="1">
      <x:alignment vertical="top" wrapText="1"/>
    </x:xf>
    <x:xf numFmtId="0" fontId="25" fillId="2" borderId="0" xfId="0" applyNumberFormat="1" applyFont="1" applyFill="1" applyBorder="1"/>
    <x:xf numFmtId="0" fontId="27" fillId="3" borderId="0" xfId="0" applyNumberFormat="1" applyFont="1" applyFill="1" applyBorder="1"/>
    <x:xf numFmtId="0" fontId="17" fillId="4" borderId="0" xfId="0" applyNumberFormat="1" applyFont="1" applyFill="1" applyBorder="1" applyAlignment="1">
      <x:alignment wrapText="1"/>
    </x:xf>
    <x:xf numFmtId="0" fontId="16" fillId="0" borderId="0" xfId="0" applyNumberFormat="1" applyFont="1" applyFill="1" applyBorder="1" applyAlignment="1">
      <x:alignment wrapText="1"/>
    </x:xf>
    <x:xf numFmtId="201" fontId="19" fillId="5" borderId="6" xfId="0" applyNumberFormat="1" applyFont="1" applyFill="1" applyBorder="1"/>
  </x:cellXfs>
  <x:cellStyles count="1">
    <x:cellStyle name="Normal" xfId="0"/>
  </x:cellStyles>
  <x:dxfs count="7">
    <x:dxf>
      <x:font>
        <x:b/>
        <x:color rgb="FF176B36"/>
      </x:font>
      <x:fill>
        <x:patternFill>
          <x:bgColor rgb="FFDDF4E4"/>
        </x:patternFill>
      </x:fill>
    </x:dxf>
    <x:dxf>
      <x:font>
        <x:b/>
        <x:color rgb="FF165AA7"/>
      </x:font>
      <x:fill>
        <x:patternFill>
          <x:bgColor rgb="FFDCEBFF"/>
        </x:patternFill>
      </x:fill>
    </x:dxf>
    <x:dxf>
      <x:font>
        <x:b/>
        <x:color rgb="FF8A5A00"/>
      </x:font>
      <x:fill>
        <x:patternFill>
          <x:bgColor rgb="FFFFF1C7"/>
        </x:patternFill>
      </x:fill>
    </x:dxf>
    <x:dxf>
      <x:font>
        <x:color rgb="FF8A5A00"/>
      </x:font>
      <x:fill>
        <x:patternFill>
          <x:bgColor rgb="FFFFF1C7"/>
        </x:patternFill>
      </x:fill>
    </x:dxf>
    <x:dxf>
      <x:font>
        <x:b/>
        <x:color rgb="FFA32121"/>
      </x:font>
      <x:fill>
        <x:patternFill>
          <x:bgColor rgb="FFFDE0E0"/>
        </x:patternFill>
      </x:fill>
    </x:dxf>
    <x:dxf>
      <x:font>
        <x:color rgb="FF4D555C"/>
      </x:font>
      <x:fill>
        <x:patternFill>
          <x:bgColor rgb="FFE9ECEF"/>
        </x:patternFill>
      </x:fill>
    </x:dxf>
    <x:dxf>
      <x:font>
        <x:b/>
        <x:color rgb="FFFFFFFF"/>
      </x:font>
      <x:fill>
        <x:patternFill>
          <x:bgColor rgb="FF20232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c254f56cbba499e" /><Relationship Type="http://schemas.openxmlformats.org/officeDocument/2006/relationships/theme" Target="/xl/theme/theme1.xml" Id="R95319d71ab7e4b9d" /><Relationship Type="http://schemas.openxmlformats.org/officeDocument/2006/relationships/sharedStrings" Target="/xl/sharedStrings.xml" Id="Rce531a40e6924bd2" /><Relationship Type="http://schemas.openxmlformats.org/officeDocument/2006/relationships/worksheet" Target="/xl/worksheets/sheet1.xml" Id="Rccbf8fe74e0c4d57" /><Relationship Type="http://schemas.openxmlformats.org/officeDocument/2006/relationships/worksheet" Target="/xl/worksheets/sheet2.xml" Id="R1cb305b1849c4049" /><Relationship Type="http://schemas.openxmlformats.org/officeDocument/2006/relationships/worksheet" Target="/xl/worksheets/sheet3.xml" Id="R0e611caff5e54e9c" /><Relationship Type="http://schemas.openxmlformats.org/officeDocument/2006/relationships/worksheet" Target="/xl/worksheets/sheet4.xml" Id="R5492dd8b08d1440a" /><Relationship Type="http://schemas.openxmlformats.org/officeDocument/2006/relationships/worksheet" Target="/xl/worksheets/sheet5.xml" Id="R93ea17b2712d410f" /><Relationship Type="http://schemas.openxmlformats.org/officeDocument/2006/relationships/worksheet" Target="/xl/worksheets/sheet6.xml" Id="Rb2f5dab66f2e4018" /><Relationship Type="http://schemas.openxmlformats.org/officeDocument/2006/relationships/worksheet" Target="/xl/worksheets/sheet7.xml" Id="R273d74f389eb4dff" /></Relationships>
</file>

<file path=xl/drawings/_rels/drawing1.xml.rels>&#65279;<?xml version="1.0" encoding="utf-8"?><Relationships xmlns="http://schemas.openxmlformats.org/package/2006/relationships"><Relationship Type="http://schemas.openxmlformats.org/officeDocument/2006/relationships/chart" Target="/xl/drawings/charts/chart1.xml" Id="R597df881ea9948f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Current feature status distribution</a:t>
            </a:r>
          </a:p>
        </c:rich>
      </c:tx>
      <c:overlay val="0"/>
    </c:title>
    <c:plotArea>
      <c:barChart>
        <c:barDir val="col"/>
        <c:varyColors val="0"/>
        <c:ser>
          <c:idx val="0"/>
          <c:order val="0"/>
          <c:tx>
            <c:v>Count</c:v>
          </c:tx>
          <c:cat>
            <c:strRef>
              <c:f>'Dashboard'!$A$15:$A$19</c:f>
              <c:strCache>
                <c:ptCount val="0"/>
              </c:strCache>
            </c:strRef>
          </c:cat>
          <c:val>
            <c:numRef>
              <c:f>'Dashboard'!$B$15:$B$19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13</xdr:row>
      <xdr:rowOff>0</xdr:rowOff>
    </xdr:from>
    <xdr:to>
      <xdr:col>10</xdr:col>
      <xdr:colOff>0</xdr:colOff>
      <xdr:row>27</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97df881ea9948f2"/>
        </a:graphicData>
      </a:graphic>
    </xdr:graphicFrame>
    <xdr:clientData/>
  </xdr:twoCellAnchor>
</xdr:wsDr>
</file>

<file path=xl/tables/table1.xml><?xml version="1.0" encoding="utf-8"?>
<x:table xmlns:x="http://schemas.openxmlformats.org/spreadsheetml/2006/main" id="1" name="FeatureTrackerTable" displayName="FeatureTrackerTable" ref="A4:O215" headerRowCount="1" totalsRowCount="0" totalsRowShown="0">
  <x:autoFilter ref="A4:O215"/>
  <x:tableColumns count="15">
    <x:tableColumn id="1" name="ID"/>
    <x:tableColumn id="2" name="Module"/>
    <x:tableColumn id="3" name="Feature"/>
    <x:tableColumn id="4" name="Detailed Requirement"/>
    <x:tableColumn id="5" name="Scope"/>
    <x:tableColumn id="6" name="Status"/>
    <x:tableColumn id="7" name="Completion"/>
    <x:tableColumn id="8" name="Priority"/>
    <x:tableColumn id="9" name="Development Stage"/>
    <x:tableColumn id="10" name="Owner"/>
    <x:tableColumn id="11" name="Dependency / Prerequisite"/>
    <x:tableColumn id="12" name="Definition of Done / Acceptance Criteria"/>
    <x:tableColumn id="13" name="Required Testing"/>
    <x:tableColumn id="14" name="Current Evidence / Gap"/>
    <x:tableColumn id="15" name="Next Action"/>
  </x:tableColumns>
  <x:tableStyleInfo name="TableStyleMedium2" showFirstColumn="0" showLastColumn="0" showRowStripes="1" showColumnStripes="0"/>
</x:table>
</file>

<file path=xl/tables/table2.xml><?xml version="1.0" encoding="utf-8"?>
<x:table xmlns:x="http://schemas.openxmlformats.org/spreadsheetml/2006/main" id="2" name="RoadmapTable" displayName="RoadmapTable" ref="A4:G24" headerRowCount="1" totalsRowCount="0" totalsRowShown="0">
  <x:tableColumns count="7">
    <x:tableColumn id="1" name="Order"/>
    <x:tableColumn id="2" name="Stage"/>
    <x:tableColumn id="3" name="Work Package"/>
    <x:tableColumn id="4" name="Suggested Branch"/>
    <x:tableColumn id="5" name="Included Scope"/>
    <x:tableColumn id="6" name="Exit Gate"/>
    <x:tableColumn id="7" name="Status"/>
  </x:tableColumns>
  <x:tableStyleInfo name="TableStyleMedium2" showFirstColumn="0" showLastColumn="0" showRowStripes="1" showColumnStripes="0"/>
</x:table>
</file>

<file path=xl/tables/table3.xml><?xml version="1.0" encoding="utf-8"?>
<x:table xmlns:x="http://schemas.openxmlformats.org/spreadsheetml/2006/main" id="3" name="TestMatrixTable" displayName="TestMatrixTable" ref="A4:H61" headerRowCount="1" totalsRowCount="0" totalsRowShown="0">
  <x:tableColumns count="8">
    <x:tableColumn id="1" name="Test ID"/>
    <x:tableColumn id="2" name="Module"/>
    <x:tableColumn id="3" name="Scenario"/>
    <x:tableColumn id="4" name="Test Type"/>
    <x:tableColumn id="5" name="Automation"/>
    <x:tableColumn id="6" name="Current Result"/>
    <x:tableColumn id="7" name="Entry Condition"/>
    <x:tableColumn id="8" name="Expected Result"/>
  </x:tableColumns>
  <x:tableStyleInfo name="TableStyleMedium2" showFirstColumn="0" showLastColumn="0" showRowStripes="1" showColumnStripes="0"/>
</x:table>
</file>

<file path=xl/tables/table4.xml><?xml version="1.0" encoding="utf-8"?>
<x:table xmlns:x="http://schemas.openxmlformats.org/spreadsheetml/2006/main" id="4" name="GuardrailTable" displayName="GuardrailTable" ref="A4:D16" headerRowCount="1" totalsRowCount="0" totalsRowShown="0">
  <x:tableColumns count="4">
    <x:tableColumn id="1" name="Area"/>
    <x:tableColumn id="2" name="Excluded Functionality"/>
    <x:tableColumn id="3" name="Status"/>
    <x:tableColumn id="4" name="Rul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d467b3342934bc7" /></Relationships>
</file>

<file path=xl/worksheets/_rels/sheet3.xml.rels>&#65279;<?xml version="1.0" encoding="utf-8"?><Relationships xmlns="http://schemas.openxmlformats.org/package/2006/relationships"><Relationship Type="http://schemas.openxmlformats.org/officeDocument/2006/relationships/table" Target="/xl/tables/table1.xml" Id="Rb0024eb3f37e467d" /></Relationships>
</file>

<file path=xl/worksheets/_rels/sheet4.xml.rels>&#65279;<?xml version="1.0" encoding="utf-8"?><Relationships xmlns="http://schemas.openxmlformats.org/package/2006/relationships"><Relationship Type="http://schemas.openxmlformats.org/officeDocument/2006/relationships/table" Target="/xl/tables/table2.xml" Id="R8be86ef6d4044925" /></Relationships>
</file>

<file path=xl/worksheets/_rels/sheet5.xml.rels>&#65279;<?xml version="1.0" encoding="utf-8"?><Relationships xmlns="http://schemas.openxmlformats.org/package/2006/relationships"><Relationship Type="http://schemas.openxmlformats.org/officeDocument/2006/relationships/table" Target="/xl/tables/table3.xml" Id="R553907c3a87c492f" /></Relationships>
</file>

<file path=xl/worksheets/_rels/sheet6.xml.rels>&#65279;<?xml version="1.0" encoding="utf-8"?><Relationships xmlns="http://schemas.openxmlformats.org/package/2006/relationships"><Relationship Type="http://schemas.openxmlformats.org/officeDocument/2006/relationships/table" Target="/xl/tables/table4.xml" Id="Rfd90ae8fceb24bf4" /></Relationships>
</file>

<file path=xl/worksheets/sheet1.xml><?xml version="1.0" encoding="utf-8"?>
<x:worksheet xmlns:x="http://schemas.openxmlformats.org/spreadsheetml/2006/main">
  <x:sheetViews>
    <x:sheetView showGridLines="0" workbookViewId="0"/>
  </x:sheetViews>
  <x:sheetFormatPr defaultRowHeight="15"/>
  <x:cols>
    <x:col min="1" max="1" width="23" hidden="0" customWidth="1"/>
    <x:col min="2" max="2" width="18" hidden="0" customWidth="1"/>
    <x:col min="3" max="3" width="45" hidden="0" customWidth="1"/>
    <x:col min="4" max="4" width="22" hidden="0" customWidth="1"/>
    <x:col min="5" max="5" width="17" hidden="0" customWidth="1"/>
    <x:col min="6" max="6" width="23" hidden="0" customWidth="1"/>
    <x:col min="7" max="7" width="23" hidden="0" customWidth="1"/>
    <x:col min="8" max="8" width="18" hidden="0" customWidth="1"/>
    <x:col min="9" max="9" width="18" hidden="0" customWidth="1"/>
    <x:col min="10" max="10" width="18" hidden="0" customWidth="1"/>
  </x:cols>
  <x:sheetData>
    <x:row r="1" ht="38" customHeight="1">
      <x:c r="A1" s="86" t="str">
        <x:v>JaniWheels V1 Development Control Sheet — 3 October 2026</x:v>
      </x:c>
      <x:c r="B1" s="86"/>
      <x:c r="C1" s="86"/>
      <x:c r="D1" s="86"/>
      <x:c r="E1" s="86"/>
      <x:c r="F1" s="86"/>
      <x:c r="G1" s="86"/>
      <x:c r="H1" s="86"/>
      <x:c r="I1" s="86"/>
      <x:c r="J1" s="86"/>
    </x:row>
    <x:row r="2" ht="32" customHeight="1">
      <x:c r="A2" s="87" t="str">
        <x:v>Completion is the equal-weight average of in-scope feature estimates, not effort spent or launch approval. Evidence, remaining gates and next actions are recorded in Feature Tracker.</x:v>
      </x:c>
      <x:c r="B2" s="87"/>
      <x:c r="C2" s="87"/>
      <x:c r="D2" s="87"/>
      <x:c r="E2" s="87"/>
      <x:c r="F2" s="87"/>
      <x:c r="G2" s="87"/>
      <x:c r="H2" s="87"/>
      <x:c r="I2" s="87"/>
      <x:c r="J2" s="87"/>
    </x:row>
    <x:row r="3">
      <x:c r="A3" s="88"/>
      <x:c r="B3" s="88"/>
      <x:c r="C3" s="88"/>
      <x:c r="D3" s="88"/>
      <x:c r="E3" s="88"/>
      <x:c r="F3" s="88"/>
      <x:c r="G3" s="88"/>
      <x:c r="H3" s="88"/>
      <x:c r="I3" s="88"/>
      <x:c r="J3" s="88"/>
    </x:row>
    <x:row r="4">
      <x:c r="A4" s="89" t="str">
        <x:v>SCOPE STATUS</x:v>
      </x:c>
      <x:c r="B4" s="89"/>
      <x:c r="C4" s="89"/>
      <x:c r="D4" s="89" t="str">
        <x:v>QUALITY GATES</x:v>
      </x:c>
      <x:c r="E4" s="89"/>
      <x:c r="F4" s="89"/>
      <x:c r="G4" s="89" t="str">
        <x:v>CURRENT RELEASE</x:v>
      </x:c>
      <x:c r="H4" s="89"/>
      <x:c r="I4" s="89"/>
      <x:c r="J4" s="89"/>
    </x:row>
    <x:row r="5" ht="16.799999237060547" hidden="0" customHeight="1">
      <x:c r="A5" s="90" t="str">
        <x:v>In-scope feature rows</x:v>
      </x:c>
      <x:c r="B5" s="91" t="n">
        <x:f>COUNTIFS('Feature Tracker'!$A$5:$A$215,"&lt;&gt;",'Feature Tracker'!$E$5:$E$215,"&lt;&gt;Excluded / Change Request",'Feature Tracker'!$F$5:$F$215,"&lt;&gt;Out of Scope / Removed")</x:f>
        <x:v>200</x:v>
      </x:c>
      <x:c r="C5" s="88"/>
      <x:c r="D5" s="92" t="str">
        <x:v>TypeScript</x:v>
      </x:c>
      <x:c r="E5" s="93" t="str">
        <x:v>Passed</x:v>
      </x:c>
      <x:c r="F5" s="94" t="str">
        <x:v>Passed on a96704b; CI run 37</x:v>
      </x:c>
      <x:c r="G5" s="92" t="str">
        <x:v>Current branch</x:v>
      </x:c>
      <x:c r="H5" s="93" t="str">
        <x:v>codex/launch-quality-system; PR #6</x:v>
      </x:c>
      <x:c r="I5" s="93"/>
      <x:c r="J5" s="94"/>
    </x:row>
    <x:row r="6" ht="16.799999237060547" hidden="0" customHeight="1">
      <x:c r="A6" s="95" t="str">
        <x:v>Completed</x:v>
      </x:c>
      <x:c r="B6" s="96" t="n">
        <x:f>COUNTIF('Feature Tracker'!$F$5:$F$215,"Completed")</x:f>
        <x:v>154</x:v>
      </x:c>
      <x:c r="C6" s="88"/>
      <x:c r="D6" s="97" t="str">
        <x:v>Lint</x:v>
      </x:c>
      <x:c r="E6" s="98" t="str">
        <x:v>Passed</x:v>
      </x:c>
      <x:c r="F6" s="99" t="str">
        <x:v>No warnings/errors; CI run 37</x:v>
      </x:c>
      <x:c r="G6" s="97" t="str">
        <x:v>Current stage</x:v>
      </x:c>
      <x:c r="H6" s="98" t="str">
        <x:v>Homepage merged via PR #5; Stage 6.2 active</x:v>
      </x:c>
      <x:c r="I6" s="98"/>
      <x:c r="J6" s="99"/>
    </x:row>
    <x:row r="7" ht="26.399999618530273" hidden="0" customHeight="1">
      <x:c r="A7" s="95" t="str">
        <x:v>Feature branch review</x:v>
      </x:c>
      <x:c r="B7" s="96" t="n">
        <x:f>COUNTIF('Feature Tracker'!$F$5:$F$215,"Complete on Feature Branch - Awaiting Review")</x:f>
        <x:v>1</x:v>
      </x:c>
      <x:c r="C7" s="88"/>
      <x:c r="D7" s="97" t="str">
        <x:v>Google auth</x:v>
      </x:c>
      <x:c r="E7" s="98" t="str">
        <x:v>Passed</x:v>
      </x:c>
      <x:c r="F7" s="99" t="str">
        <x:v>Local signup/checks pass; live provider review open</x:v>
      </x:c>
      <x:c r="G7" s="97" t="str">
        <x:v>Current PR / CI</x:v>
      </x:c>
      <x:c r="H7" s="98" t="str">
        <x:v>PR #6 open; GitHub run 37 passed</x:v>
      </x:c>
      <x:c r="I7" s="98"/>
      <x:c r="J7" s="99"/>
    </x:row>
    <x:row r="8" ht="26.399999618530273" hidden="0" customHeight="1">
      <x:c r="A8" s="95" t="str">
        <x:v>Partial / configuration</x:v>
      </x:c>
      <x:c r="B8" s="96" t="n">
        <x:f>COUNTIF('Feature Tracker'!$F$5:$F$215,"Partially Implemented")+COUNTIF('Feature Tracker'!$F$5:$F$215,"Data Layer Only")+COUNTIF('Feature Tracker'!$F$5:$F$215,"Launch Configuration Pending")</x:f>
        <x:v>34</x:v>
      </x:c>
      <x:c r="C8" s="88"/>
      <x:c r="D8" s="97" t="str">
        <x:v>Production build</x:v>
      </x:c>
      <x:c r="E8" s="98" t="str">
        <x:v>Passed</x:v>
      </x:c>
      <x:c r="F8" s="99" t="str">
        <x:v>Final build passed; max First Load JS 128 KB</x:v>
      </x:c>
      <x:c r="G8" s="97" t="str">
        <x:v>Next functionality</x:v>
      </x:c>
      <x:c r="H8" s="98" t="str">
        <x:v>Controlled failure/recovery, provider privacy and alert delivery</x:v>
      </x:c>
      <x:c r="I8" s="98"/>
      <x:c r="J8" s="99"/>
    </x:row>
    <x:row r="9" ht="26.399999618530273" hidden="0" customHeight="1">
      <x:c r="A9" s="95" t="str">
        <x:v>Requires correction</x:v>
      </x:c>
      <x:c r="B9" s="96" t="n">
        <x:f>COUNTIF('Feature Tracker'!$F$5:$F$215,"Requires Correction")</x:f>
        <x:v>0</x:v>
      </x:c>
      <x:c r="C9" s="88"/>
      <x:c r="D9" s="97" t="str">
        <x:v>Database acceptance</x:v>
      </x:c>
      <x:c r="E9" s="98" t="str">
        <x:v>Local passed</x:v>
      </x:c>
      <x:c r="F9" s="99" t="str">
        <x:v>5 DB checks; live deployment acceptance open</x:v>
      </x:c>
      <x:c r="G9" s="97" t="str">
        <x:v>Browser QA</x:v>
      </x:c>
      <x:c r="H9" s="98" t="str">
        <x:v>101 local passes, 1 planned skip; live/device QA open</x:v>
      </x:c>
      <x:c r="I9" s="98"/>
      <x:c r="J9" s="99"/>
    </x:row>
    <x:row r="10" ht="39.599998474121094" hidden="0" customHeight="1">
      <x:c r="A10" s="95" t="str">
        <x:v>Pending</x:v>
      </x:c>
      <x:c r="B10" s="96" t="n">
        <x:f>COUNTIF('Feature Tracker'!$F$5:$F$215,"Pending")</x:f>
        <x:v>11</x:v>
      </x:c>
      <x:c r="C10" s="88"/>
      <x:c r="D10" s="97" t="str">
        <x:v>Responsive/branding</x:v>
      </x:c>
      <x:c r="E10" s="98" t="str">
        <x:v>Partial pass</x:v>
      </x:c>
      <x:c r="F10" s="99" t="str">
        <x:v>Owner homepage review + automated axe/viewport; manual review open</x:v>
      </x:c>
      <x:c r="G10" s="97" t="str">
        <x:v>Google Maps</x:v>
      </x:c>
      <x:c r="H10" s="98" t="str">
        <x:v>Code configured; live test blocked by billing</x:v>
      </x:c>
      <x:c r="I10" s="98"/>
      <x:c r="J10" s="99"/>
    </x:row>
    <x:row r="11" ht="26.399999618530273" hidden="0" customHeight="1">
      <x:c r="A11" s="100" t="str">
        <x:v>Overall completion</x:v>
      </x:c>
      <x:c r="B11" s="142" t="n">
        <x:f>SUMIFS('Feature Tracker'!$G$5:$G$215,'Feature Tracker'!$E$5:$E$215,"&lt;&gt;Excluded / Change Request",'Feature Tracker'!$F$5:$F$215,"&lt;&gt;Out of Scope / Removed")/B5</x:f>
        <x:v>0.9064000000000001</x:v>
      </x:c>
      <x:c r="C11" s="88"/>
      <x:c r="D11" s="102" t="str">
        <x:v>Security/load</x:v>
      </x:c>
      <x:c r="E11" s="103" t="str">
        <x:v>Partial pass</x:v>
      </x:c>
      <x:c r="F11" s="104" t="str">
        <x:v>Local security checks pass; formal review/load open</x:v>
      </x:c>
      <x:c r="G11" s="102" t="str">
        <x:v>Final QA blocker</x:v>
      </x:c>
      <x:c r="H11" s="103" t="str">
        <x:v>Hosting/providers, Cloudflare privacy, load and final acceptance</x:v>
      </x:c>
      <x:c r="I11" s="103"/>
      <x:c r="J11" s="104"/>
    </x:row>
    <x:row r="12">
      <x:c r="A12" s="88"/>
      <x:c r="B12" s="88"/>
      <x:c r="C12" s="88"/>
      <x:c r="D12" s="88"/>
      <x:c r="E12" s="88"/>
      <x:c r="F12" s="88"/>
      <x:c r="G12" s="88"/>
      <x:c r="H12" s="88"/>
      <x:c r="I12" s="88"/>
      <x:c r="J12" s="88"/>
    </x:row>
    <x:row r="13">
      <x:c r="A13" s="88"/>
      <x:c r="B13" s="88"/>
      <x:c r="C13" s="88"/>
      <x:c r="D13" s="88"/>
      <x:c r="E13" s="88"/>
      <x:c r="F13" s="88"/>
      <x:c r="G13" s="88"/>
      <x:c r="H13" s="88"/>
      <x:c r="I13" s="88"/>
      <x:c r="J13" s="88"/>
    </x:row>
    <x:row r="14">
      <x:c r="A14" s="105" t="str">
        <x:v>Status</x:v>
      </x:c>
      <x:c r="B14" s="105" t="str">
        <x:v>Count</x:v>
      </x:c>
      <x:c r="C14" s="105" t="str">
        <x:v>Meaning</x:v>
      </x:c>
      <x:c r="D14" s="88"/>
      <x:c r="E14" s="88"/>
      <x:c r="F14" s="88"/>
      <x:c r="G14" s="88"/>
      <x:c r="H14" s="88"/>
      <x:c r="I14" s="88"/>
      <x:c r="J14" s="88"/>
    </x:row>
    <x:row r="15">
      <x:c r="A15" s="104" t="str">
        <x:v>Completed</x:v>
      </x:c>
      <x:c r="B15" s="106" t="n">
        <x:f>COUNTIF('Feature Tracker'!$F$5:$F$215,"Completed")</x:f>
        <x:v>154</x:v>
      </x:c>
      <x:c r="C15" s="107" t="str">
        <x:v>Implemented and available in current code; does not mean production launch approval</x:v>
      </x:c>
      <x:c r="D15" s="88"/>
      <x:c r="E15" s="88"/>
      <x:c r="F15" s="88"/>
      <x:c r="G15" s="88"/>
      <x:c r="H15" s="88"/>
      <x:c r="I15" s="88"/>
      <x:c r="J15" s="88"/>
    </x:row>
    <x:row r="16">
      <x:c r="A16" s="108" t="str">
        <x:v>Branch review</x:v>
      </x:c>
      <x:c r="B16" s="109" t="n">
        <x:f>COUNTIF('Feature Tracker'!$F$5:$F$215,"Complete on Feature Branch - Awaiting Review")</x:f>
        <x:v>1</x:v>
      </x:c>
      <x:c r="C16" s="110" t="str">
        <x:v>Implementation verified on feature branch; PR review/merge outstanding</x:v>
      </x:c>
      <x:c r="D16" s="88"/>
      <x:c r="E16" s="88"/>
      <x:c r="F16" s="88"/>
      <x:c r="G16" s="88"/>
      <x:c r="H16" s="88"/>
      <x:c r="I16" s="88"/>
      <x:c r="J16" s="88"/>
    </x:row>
    <x:row r="17">
      <x:c r="A17" s="108" t="str">
        <x:v>Partial/Data</x:v>
      </x:c>
      <x:c r="B17" s="109" t="n">
        <x:f>COUNTIF('Feature Tracker'!$F$5:$F$215,"Partially Implemented")+COUNTIF('Feature Tracker'!$F$5:$F$215,"Data Layer Only")+COUNTIF('Feature Tracker'!$F$5:$F$215,"Launch Configuration Pending")</x:f>
        <x:v>34</x:v>
      </x:c>
      <x:c r="C17" s="110" t="str">
        <x:v>Partly implemented or awaiting configuration/acceptance</x:v>
      </x:c>
      <x:c r="D17" s="88"/>
      <x:c r="E17" s="88"/>
      <x:c r="F17" s="88"/>
      <x:c r="G17" s="88"/>
      <x:c r="H17" s="88"/>
      <x:c r="I17" s="88"/>
      <x:c r="J17" s="88"/>
    </x:row>
    <x:row r="18">
      <x:c r="A18" s="108" t="str">
        <x:v>Correction</x:v>
      </x:c>
      <x:c r="B18" s="109" t="n">
        <x:f>COUNTIF('Feature Tracker'!$F$5:$F$215,"Requires Correction")</x:f>
        <x:v>0</x:v>
      </x:c>
      <x:c r="C18" s="110" t="str">
        <x:v>Implemented behavior is wrong or unsafe</x:v>
      </x:c>
      <x:c r="D18" s="88"/>
      <x:c r="E18" s="88"/>
      <x:c r="F18" s="88"/>
      <x:c r="G18" s="88"/>
      <x:c r="H18" s="88"/>
      <x:c r="I18" s="88"/>
      <x:c r="J18" s="88"/>
    </x:row>
    <x:row r="19">
      <x:c r="A19" s="108" t="str">
        <x:v>Pending</x:v>
      </x:c>
      <x:c r="B19" s="109" t="n">
        <x:f>COUNTIF('Feature Tracker'!$F$5:$F$215,"Pending")</x:f>
        <x:v>11</x:v>
      </x:c>
      <x:c r="C19" s="110" t="str">
        <x:v>No implemented delivery for this feature; see row-specific prerequisites</x:v>
      </x:c>
      <x:c r="D19" s="88"/>
      <x:c r="E19" s="88"/>
      <x:c r="F19" s="88"/>
      <x:c r="G19" s="88"/>
      <x:c r="H19" s="88"/>
      <x:c r="I19" s="88"/>
      <x:c r="J19" s="88"/>
    </x:row>
    <x:row r="20">
      <x:c r="A20" s="94" t="str">
        <x:v>Excluded</x:v>
      </x:c>
      <x:c r="B20" s="111" t="n">
        <x:f>COUNTIF('Feature Tracker'!$F$5:$F$215,"Out of Scope / Removed")</x:f>
        <x:v>11</x:v>
      </x:c>
      <x:c r="C20" s="112" t="str">
        <x:v>Deliberately removed; do not build without signed change</x:v>
      </x:c>
      <x:c r="D20" s="88"/>
      <x:c r="E20" s="88"/>
      <x:c r="F20" s="88"/>
      <x:c r="G20" s="88"/>
      <x:c r="H20" s="88"/>
      <x:c r="I20" s="88"/>
      <x:c r="J20" s="88"/>
    </x:row>
    <x:row r="21">
      <x:c r="A21" s="88"/>
      <x:c r="B21" s="88"/>
      <x:c r="C21" s="88"/>
      <x:c r="D21" s="88"/>
      <x:c r="E21" s="88"/>
      <x:c r="F21" s="88"/>
      <x:c r="G21" s="88"/>
      <x:c r="H21" s="88"/>
      <x:c r="I21" s="88"/>
      <x:c r="J21" s="88"/>
    </x:row>
    <x:row r="22">
      <x:c r="A22" s="88"/>
      <x:c r="B22" s="88"/>
      <x:c r="C22" s="88"/>
      <x:c r="D22" s="88"/>
      <x:c r="E22" s="88"/>
      <x:c r="F22" s="88"/>
      <x:c r="G22" s="88"/>
      <x:c r="H22" s="88"/>
      <x:c r="I22" s="88"/>
      <x:c r="J22" s="88"/>
    </x:row>
    <x:row r="23">
      <x:c r="A23" s="113" t="str">
        <x:v>Recommended next sequence</x:v>
      </x:c>
      <x:c r="B23" s="113"/>
      <x:c r="C23" s="113"/>
      <x:c r="D23" s="88"/>
      <x:c r="E23" s="88"/>
      <x:c r="F23" s="88"/>
      <x:c r="G23" s="88"/>
      <x:c r="H23" s="88"/>
      <x:c r="I23" s="88"/>
      <x:c r="J23" s="88"/>
    </x:row>
    <x:row r="24">
      <x:c r="A24" s="114" t="n">
        <x:v>1</x:v>
      </x:c>
      <x:c r="B24" s="115" t="str">
        <x:v>Homepage review and merge - completed</x:v>
      </x:c>
      <x:c r="C24" s="107" t="str">
        <x:v>PR #5 reviewed and merged into main on 30 Sep 2026 (merge c1ef18d).</x:v>
      </x:c>
      <x:c r="D24" s="88"/>
      <x:c r="E24" s="88"/>
      <x:c r="F24" s="88"/>
      <x:c r="G24" s="88"/>
      <x:c r="H24" s="88"/>
      <x:c r="I24" s="88"/>
      <x:c r="J24" s="88"/>
    </x:row>
    <x:row r="25">
      <x:c r="A25" s="116" t="n">
        <x:v>2</x:v>
      </x:c>
      <x:c r="B25" s="117" t="str">
        <x:v>Stage 6.2 CI and acceptance - in progress</x:v>
      </x:c>
      <x:c r="C25" s="110" t="str">
        <x:v>Clean isolated acceptance: 101 browser passes, 1 planned skip, 5 DB checks and 101-route sweep with zero issues. Check, lint and build pass; max First Load JS 128 KB. Dealer/service negatives and expiry/reactivation pass. Current PR checks govern the latest commit; production staging remains open.</x:v>
      </x:c>
      <x:c r="D25" s="88"/>
      <x:c r="E25" s="88"/>
      <x:c r="F25" s="88"/>
      <x:c r="G25" s="88"/>
      <x:c r="H25" s="88"/>
      <x:c r="I25" s="88"/>
      <x:c r="J25" s="88"/>
    </x:row>
    <x:row r="26">
      <x:c r="A26" s="116" t="n">
        <x:v>3</x:v>
      </x:c>
      <x:c r="B26" s="117" t="str">
        <x:v>Persistent staging and monitoring</x:v>
      </x:c>
      <x:c r="C26" s="110" t="str">
        <x:v>Configure hosted preview with separate DB/media, require passing PR check, and enable external alerts.</x:v>
      </x:c>
      <x:c r="D26" s="88"/>
      <x:c r="E26" s="88"/>
      <x:c r="F26" s="88"/>
      <x:c r="G26" s="88"/>
      <x:c r="H26" s="88"/>
      <x:c r="I26" s="88"/>
      <x:c r="J26" s="88"/>
    </x:row>
    <x:row r="27">
      <x:c r="A27" s="116" t="n">
        <x:v>4</x:v>
      </x:c>
      <x:c r="B27" s="117" t="str">
        <x:v>Complete remaining launch acceptance</x:v>
      </x:c>
      <x:c r="C27" s="110" t="str">
        <x:v>Next: controlled failure/recovery, Cloudflare private delivery, email-alert worker and retention/configuration work. Production providers, load and real-device acceptance remain open.</x:v>
      </x:c>
      <x:c r="D27" s="88"/>
      <x:c r="E27" s="88"/>
      <x:c r="F27" s="88"/>
      <x:c r="G27" s="88"/>
      <x:c r="H27" s="88"/>
      <x:c r="I27" s="88"/>
      <x:c r="J27" s="88"/>
    </x:row>
    <x:row r="28">
      <x:c r="A28" s="116" t="n">
        <x:v>5</x:v>
      </x:c>
      <x:c r="B28" s="117" t="str">
        <x:v>Stage 6.3 production readiness</x:v>
      </x:c>
      <x:c r="C28" s="110" t="str">
        <x:v>Configure hosting, DB, media, backups, logs, cron, domain and hardening.</x:v>
      </x:c>
      <x:c r="D28" s="88"/>
      <x:c r="E28" s="88"/>
      <x:c r="F28" s="88"/>
      <x:c r="G28" s="88"/>
      <x:c r="H28" s="88"/>
      <x:c r="I28" s="88"/>
      <x:c r="J28" s="88"/>
    </x:row>
    <x:row r="29">
      <x:c r="A29" s="116" t="n">
        <x:v>6</x:v>
      </x:c>
      <x:c r="B29" s="117" t="str">
        <x:v>Final branding/responsive QA</x:v>
      </x:c>
      <x:c r="C29" s="110" t="str">
        <x:v>Review production branding and comprehensive desktop/tablet/mobile behavior.</x:v>
      </x:c>
      <x:c r="D29" s="88"/>
      <x:c r="E29" s="88"/>
      <x:c r="F29" s="88"/>
      <x:c r="G29" s="88"/>
      <x:c r="H29" s="88"/>
      <x:c r="I29" s="88"/>
      <x:c r="J29" s="88"/>
    </x:row>
    <x:row r="30">
      <x:c r="A30" s="116" t="n">
        <x:v>7</x:v>
      </x:c>
      <x:c r="B30" s="117" t="str">
        <x:v>Final browser acceptance</x:v>
      </x:c>
      <x:c r="C30" s="110" t="str">
        <x:v>Complete remaining negative/failure cases and live provider/real-device journeys using the regression checklist. Core local browser suite already passes.</x:v>
      </x:c>
      <x:c r="D30" s="88"/>
      <x:c r="E30" s="88"/>
      <x:c r="F30" s="88"/>
      <x:c r="G30" s="88"/>
      <x:c r="H30" s="88"/>
      <x:c r="I30" s="88"/>
      <x:c r="J30" s="88"/>
    </x:row>
    <x:row r="31">
      <x:c r="A31" s="118" t="n">
        <x:v>8</x:v>
      </x:c>
      <x:c r="B31" s="119" t="str">
        <x:v>Preserve signed V1 scope</x:v>
      </x:c>
      <x:c r="C31" s="112" t="str">
        <x:v>Payments, featured ads, financing, subscriptions, commerce, SMS OTP and workforce tooling remain excluded.</x:v>
      </x:c>
      <x:c r="D31" s="88"/>
      <x:c r="E31" s="88"/>
      <x:c r="F31" s="88"/>
      <x:c r="G31" s="88"/>
      <x:c r="H31" s="88"/>
      <x:c r="I31" s="88"/>
      <x:c r="J31" s="88"/>
    </x:row>
  </x:sheetData>
  <x:mergeCells>
    <x:mergeCell ref="A1:J1"/>
    <x:mergeCell ref="A2:J2"/>
    <x:mergeCell ref="A4:C4"/>
    <x:mergeCell ref="D4:F4"/>
    <x:mergeCell ref="G4:J4"/>
    <x:mergeCell ref="H5:J5"/>
    <x:mergeCell ref="H6:J6"/>
    <x:mergeCell ref="H7:J7"/>
    <x:mergeCell ref="H8:J8"/>
    <x:mergeCell ref="H9:J9"/>
    <x:mergeCell ref="H10:J10"/>
    <x:mergeCell ref="H11:J11"/>
    <x:mergeCell ref="A23:C23"/>
  </x:mergeCells>
  <x:pageMargins left="0.7" right="0.7" top="0.75" bottom="0.75" header="0.3" footer="0.3"/>
  <x:drawing xmlns:r="http://schemas.openxmlformats.org/officeDocument/2006/relationships" r:id="R4d467b3342934bc7"/>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22" hidden="0" customWidth="1"/>
    <x:col min="4" max="4" width="22" hidden="0" customWidth="1"/>
    <x:col min="5" max="5" width="22" hidden="0" customWidth="1"/>
    <x:col min="6" max="6" width="22" hidden="0" customWidth="1"/>
  </x:cols>
  <x:sheetData>
    <x:row r="1" ht="34" customHeight="1">
      <x:c r="A1" s="120" t="str">
        <x:v>JaniWheels Development Governance &amp; Source of Truth</x:v>
      </x:c>
      <x:c r="B1" s="120"/>
      <x:c r="C1" s="120"/>
      <x:c r="D1" s="120"/>
      <x:c r="E1" s="120"/>
      <x:c r="F1" s="120"/>
    </x:row>
    <x:row r="2" ht="34" customHeight="1">
      <x:c r="A2" s="121" t="str">
        <x:v>This workbook is the master development tracker. Work on one roadmap package at a time and update this same file after each verified milestone.</x:v>
      </x:c>
      <x:c r="B2" s="121"/>
      <x:c r="C2" s="121"/>
      <x:c r="D2" s="121"/>
      <x:c r="E2" s="121"/>
      <x:c r="F2" s="121"/>
    </x:row>
    <x:row r="3">
      <x:c r="A3" s="88"/>
      <x:c r="B3" s="88"/>
      <x:c r="C3" s="88"/>
      <x:c r="D3" s="88"/>
      <x:c r="E3" s="88"/>
      <x:c r="F3" s="88"/>
    </x:row>
    <x:row r="4">
      <x:c r="A4" s="122" t="str">
        <x:v>MASTER SOURCE</x:v>
      </x:c>
      <x:c r="B4" s="122"/>
      <x:c r="C4" s="122"/>
      <x:c r="D4" s="122"/>
      <x:c r="E4" s="122"/>
      <x:c r="F4" s="122"/>
    </x:row>
    <x:row r="5" ht="25" customHeight="1">
      <x:c r="A5" s="123" t="str">
        <x:v>File</x:v>
      </x:c>
      <x:c r="B5" s="124" t="str">
        <x:v>JaniWheels_Complete_Feature_Development_Tracker.xlsx</x:v>
      </x:c>
      <x:c r="C5" s="124"/>
      <x:c r="D5" s="124"/>
      <x:c r="E5" s="124"/>
      <x:c r="F5" s="125"/>
    </x:row>
    <x:row r="6" ht="25" customHeight="1">
      <x:c r="A6" s="126" t="str">
        <x:v>Persistent path</x:v>
      </x:c>
      <x:c r="B6" s="127" t="str">
        <x:v>docs/JaniWheels_Complete_Feature_Development_Tracker.xlsx</x:v>
      </x:c>
      <x:c r="C6" s="127"/>
      <x:c r="D6" s="127"/>
      <x:c r="E6" s="127"/>
      <x:c r="F6" s="128"/>
    </x:row>
    <x:row r="7" ht="25" customHeight="1">
      <x:c r="A7" s="126" t="str">
        <x:v>Active package</x:v>
      </x:c>
      <x:c r="B7" s="127" t="str">
        <x:v>Stage 6.2 CI and isolated DB/browser acceptance in PR #6; persistent online staging remains open</x:v>
      </x:c>
      <x:c r="C7" s="127"/>
      <x:c r="D7" s="127"/>
      <x:c r="E7" s="127"/>
      <x:c r="F7" s="128"/>
    </x:row>
    <x:row r="8" ht="25" customHeight="1">
      <x:c r="A8" s="126" t="str">
        <x:v>Current branch</x:v>
      </x:c>
      <x:c r="B8" s="127" t="str">
        <x:v>codex/launch-quality-system (pushed; PR #6 open)</x:v>
      </x:c>
      <x:c r="C8" s="127"/>
      <x:c r="D8" s="127"/>
      <x:c r="E8" s="127"/>
      <x:c r="F8" s="128"/>
    </x:row>
    <x:row r="9" ht="25" customHeight="1">
      <x:c r="A9" s="129" t="str">
        <x:v>Current checkpoint</x:v>
      </x:c>
      <x:c r="B9" s="130" t="str">
        <x:v>Clean isolated acceptance: 101 browser passes, 1 planned skip, 5 DB checks and 101-route sweep with zero issues. Check, lint and build pass; max First Load JS 128 KB. Dealer/service replay and expiry/reactivation are verified. Each finished package is committed/pushed with this master tracker; PR review/merge and live launch gates remain separate.</x:v>
      </x:c>
      <x:c r="C9" s="130"/>
      <x:c r="D9" s="130"/>
      <x:c r="E9" s="130"/>
      <x:c r="F9" s="131"/>
    </x:row>
    <x:row r="10">
      <x:c r="A10" s="88"/>
      <x:c r="B10" s="88"/>
      <x:c r="C10" s="88"/>
      <x:c r="D10" s="88"/>
      <x:c r="E10" s="88"/>
      <x:c r="F10" s="88"/>
    </x:row>
    <x:row r="11">
      <x:c r="A11" s="122" t="str">
        <x:v>STRICT SCOPE RULE</x:v>
      </x:c>
      <x:c r="B11" s="122"/>
      <x:c r="C11" s="122"/>
      <x:c r="D11" s="122"/>
      <x:c r="E11" s="122"/>
      <x:c r="F11" s="122"/>
    </x:row>
    <x:row r="12" ht="32" customHeight="1">
      <x:c r="A12" s="123" t="str">
        <x:v>1</x:v>
      </x:c>
      <x:c r="B12" s="124" t="str">
        <x:v>Work only on the active package shown in the Development Roadmap.</x:v>
      </x:c>
      <x:c r="C12" s="124"/>
      <x:c r="D12" s="124"/>
      <x:c r="E12" s="124"/>
      <x:c r="F12" s="125"/>
    </x:row>
    <x:row r="13" ht="32" customHeight="1">
      <x:c r="A13" s="126" t="str">
        <x:v>2</x:v>
      </x:c>
      <x:c r="B13" s="127" t="str">
        <x:v>If a request is outside the active package, identify its tracker ID/stage and explicitly flag it as outside the current sequence.</x:v>
      </x:c>
      <x:c r="C13" s="127"/>
      <x:c r="D13" s="127"/>
      <x:c r="E13" s="127"/>
      <x:c r="F13" s="128"/>
    </x:row>
    <x:row r="14" ht="32" customHeight="1">
      <x:c r="A14" s="126" t="str">
        <x:v>3</x:v>
      </x:c>
      <x:c r="B14" s="127" t="str">
        <x:v>Do not execute outside-sequence work unless the user explicitly confirms an override or resequencing.</x:v>
      </x:c>
      <x:c r="C14" s="127"/>
      <x:c r="D14" s="127"/>
      <x:c r="E14" s="127"/>
      <x:c r="F14" s="128"/>
    </x:row>
    <x:row r="15" ht="32" customHeight="1">
      <x:c r="A15" s="126" t="str">
        <x:v>4</x:v>
      </x:c>
      <x:c r="B15" s="127" t="str">
        <x:v>Handle a technical dependency only when it is necessary for the active package, and record it in Evidence / Current State.</x:v>
      </x:c>
      <x:c r="C15" s="127"/>
      <x:c r="D15" s="127"/>
      <x:c r="E15" s="127"/>
      <x:c r="F15" s="128"/>
    </x:row>
    <x:row r="16" ht="32" customHeight="1">
      <x:c r="A16" s="129" t="str">
        <x:v>5</x:v>
      </x:c>
      <x:c r="B16" s="130" t="str">
        <x:v>Never add excluded functionality unless a formal, explicitly confirmed scope change is recorded.</x:v>
      </x:c>
      <x:c r="C16" s="130"/>
      <x:c r="D16" s="130"/>
      <x:c r="E16" s="130"/>
      <x:c r="F16" s="131"/>
    </x:row>
    <x:row r="17">
      <x:c r="A17" s="88"/>
      <x:c r="B17" s="88"/>
      <x:c r="C17" s="88"/>
      <x:c r="D17" s="88"/>
      <x:c r="E17" s="88"/>
      <x:c r="F17" s="88"/>
    </x:row>
    <x:row r="18">
      <x:c r="A18" s="122" t="str">
        <x:v>COMPLETION GATE</x:v>
      </x:c>
      <x:c r="B18" s="122"/>
      <x:c r="C18" s="122"/>
      <x:c r="D18" s="122"/>
      <x:c r="E18" s="122"/>
      <x:c r="F18" s="122"/>
    </x:row>
    <x:row r="19" ht="32" customHeight="1">
      <x:c r="A19" s="123" t="str">
        <x:v>1</x:v>
      </x:c>
      <x:c r="B19" s="124" t="str">
        <x:v>Implementation satisfies the feature acceptance criteria.</x:v>
      </x:c>
      <x:c r="C19" s="124"/>
      <x:c r="D19" s="124"/>
      <x:c r="E19" s="124"/>
      <x:c r="F19" s="125"/>
    </x:row>
    <x:row r="20" ht="32" customHeight="1">
      <x:c r="A20" s="126" t="str">
        <x:v>2</x:v>
      </x:c>
      <x:c r="B20" s="127" t="str">
        <x:v>Applicable typecheck, lint, automated tests and production build checks pass.</x:v>
      </x:c>
      <x:c r="C20" s="127"/>
      <x:c r="D20" s="127"/>
      <x:c r="E20" s="127"/>
      <x:c r="F20" s="128"/>
    </x:row>
    <x:row r="21" ht="32" customHeight="1">
      <x:c r="A21" s="126" t="str">
        <x:v>3</x:v>
      </x:c>
      <x:c r="B21" s="127" t="str">
        <x:v>Functional, validation, authorization, responsive and error-state checks are completed as applicable.</x:v>
      </x:c>
      <x:c r="C21" s="127"/>
      <x:c r="D21" s="127"/>
      <x:c r="E21" s="127"/>
      <x:c r="F21" s="128"/>
    </x:row>
    <x:row r="22" ht="32" customHeight="1">
      <x:c r="A22" s="126" t="str">
        <x:v>4</x:v>
      </x:c>
      <x:c r="B22" s="127" t="str">
        <x:v>Verified development is committed, pushed on a feature branch, and recorded in this tracker without recurring approval requests; main-branch merge still follows review and approval.</x:v>
      </x:c>
      <x:c r="C22" s="127"/>
      <x:c r="D22" s="127"/>
      <x:c r="E22" s="127"/>
      <x:c r="F22" s="128"/>
    </x:row>
    <x:row r="23" ht="32" customHeight="1">
      <x:c r="A23" s="126" t="str">
        <x:v>5</x:v>
      </x:c>
      <x:c r="B23" s="127" t="str">
        <x:v>User completes local review and gives explicit approval before merge.</x:v>
      </x:c>
      <x:c r="C23" s="127"/>
      <x:c r="D23" s="127"/>
      <x:c r="E23" s="127"/>
      <x:c r="F23" s="128"/>
    </x:row>
    <x:row r="24" ht="32" customHeight="1">
      <x:c r="A24" s="129" t="str">
        <x:v>6</x:v>
      </x:c>
      <x:c r="B24" s="130" t="str">
        <x:v>Changes are merged to main only after approval; tracker, roadmap and test evidence are updated.</x:v>
      </x:c>
      <x:c r="C24" s="130"/>
      <x:c r="D24" s="130"/>
      <x:c r="E24" s="130"/>
      <x:c r="F24" s="131"/>
    </x:row>
    <x:row r="25">
      <x:c r="A25" s="88"/>
      <x:c r="B25" s="88"/>
      <x:c r="C25" s="88"/>
      <x:c r="D25" s="88"/>
      <x:c r="E25" s="88"/>
      <x:c r="F25" s="88"/>
    </x:row>
    <x:row r="26">
      <x:c r="A26" s="122" t="str">
        <x:v>TRACKER UPDATE PROTOCOL</x:v>
      </x:c>
      <x:c r="B26" s="122"/>
      <x:c r="C26" s="122"/>
      <x:c r="D26" s="122"/>
      <x:c r="E26" s="122"/>
      <x:c r="F26" s="122"/>
    </x:row>
    <x:row r="27" ht="32" customHeight="1">
      <x:c r="A27" s="123" t="str">
        <x:v>1</x:v>
      </x:c>
      <x:c r="B27" s="124" t="str">
        <x:v>Review Status, Completion estimate, Evidence, Next Action and Owner after every verified package. Estimates reflect feature acceptance, not commit/test counts or elapsed effort. Dashboard uses an equal-weight average excluding removed scope.</x:v>
      </x:c>
      <x:c r="C27" s="124"/>
      <x:c r="D27" s="124"/>
      <x:c r="E27" s="124"/>
      <x:c r="F27" s="125"/>
    </x:row>
    <x:row r="28" ht="32" customHeight="1">
      <x:c r="A28" s="126" t="str">
        <x:v>2</x:v>
      </x:c>
      <x:c r="B28" s="127" t="str">
        <x:v>Update the Dashboard, Development Roadmap and Test Matrix when their state or evidence changes.</x:v>
      </x:c>
      <x:c r="C28" s="127"/>
      <x:c r="D28" s="127"/>
      <x:c r="E28" s="127"/>
      <x:c r="F28" s="128"/>
    </x:row>
    <x:row r="29" ht="32" customHeight="1">
      <x:c r="A29" s="126" t="str">
        <x:v>3</x:v>
      </x:c>
      <x:c r="B29" s="127" t="str">
        <x:v>Record the branch, commit, pull request and test results in Evidence / Current State.</x:v>
      </x:c>
      <x:c r="C29" s="127"/>
      <x:c r="D29" s="127"/>
      <x:c r="E29" s="127"/>
      <x:c r="F29" s="128"/>
    </x:row>
    <x:row r="30" ht="32" customHeight="1">
      <x:c r="A30" s="129" t="str">
        <x:v>4</x:v>
      </x:c>
      <x:c r="B30" s="130" t="str">
        <x:v>Replace this same master file/version; do not create disconnected 'latest' copies.</x:v>
      </x:c>
      <x:c r="C30" s="130"/>
      <x:c r="D30" s="130"/>
      <x:c r="E30" s="130"/>
      <x:c r="F30" s="131"/>
    </x:row>
    <x:row r="31">
      <x:c r="A31" s="88"/>
      <x:c r="B31" s="88"/>
      <x:c r="C31" s="88"/>
      <x:c r="D31" s="88"/>
      <x:c r="E31" s="88"/>
      <x:c r="F31" s="88"/>
    </x:row>
    <x:row r="32">
      <x:c r="A32" s="122" t="str">
        <x:v>EASY ACCESS — NO DOWNLOAD REQUIRED</x:v>
      </x:c>
      <x:c r="B32" s="122"/>
      <x:c r="C32" s="122"/>
      <x:c r="D32" s="122"/>
      <x:c r="E32" s="122"/>
      <x:c r="F32" s="122"/>
    </x:row>
    <x:row r="33" ht="32" customHeight="1">
      <x:c r="A33" s="123" t="str">
        <x:v>Project access</x:v>
      </x:c>
      <x:c r="B33" s="124" t="str">
        <x:v>Add this Library file to the JaniWheels Project Sources once so every chat in the project can use it.</x:v>
      </x:c>
      <x:c r="C33" s="124"/>
      <x:c r="D33" s="124"/>
      <x:c r="E33" s="124"/>
      <x:c r="F33" s="125"/>
    </x:row>
    <x:row r="34" ht="32" customHeight="1">
      <x:c r="A34" s="126" t="str">
        <x:v>Visual review</x:v>
      </x:c>
      <x:c r="B34" s="127" t="str">
        <x:v>Open the workbook from Project Sources or Library to use the in-app preview.</x:v>
      </x:c>
      <x:c r="C34" s="127"/>
      <x:c r="D34" s="127"/>
      <x:c r="E34" s="127"/>
      <x:c r="F34" s="128"/>
    </x:row>
    <x:row r="35" ht="32" customHeight="1">
      <x:c r="A35" s="126" t="str">
        <x:v>Chat prompts</x:v>
      </x:c>
      <x:c r="B35" s="127" t="str">
        <x:v>Ask: 'Show the current JaniWheels tracker dashboard' or 'What is the active work package?'</x:v>
      </x:c>
      <x:c r="C35" s="127"/>
      <x:c r="D35" s="127"/>
      <x:c r="E35" s="127"/>
      <x:c r="F35" s="128"/>
    </x:row>
    <x:row r="36" ht="32" customHeight="1">
      <x:c r="A36" s="129" t="str">
        <x:v>Latest master</x:v>
      </x:c>
      <x:c r="B36" s="130" t="str">
        <x:v>Maintain the repository master at docs/JaniWheels_Complete_Feature_Development_Tracker.xlsx. Older exported/Library copies may be stale; no automatic Library synchronization is claimed.</x:v>
      </x:c>
      <x:c r="C36" s="130"/>
      <x:c r="D36" s="130"/>
      <x:c r="E36" s="130"/>
      <x:c r="F36" s="131"/>
    </x:row>
  </x:sheetData>
  <x:mergeCells>
    <x:mergeCell ref="A1:F1"/>
    <x:mergeCell ref="A2:F2"/>
    <x:mergeCell ref="A4:F4"/>
    <x:mergeCell ref="B5:F5"/>
    <x:mergeCell ref="B6:F6"/>
    <x:mergeCell ref="B7:F7"/>
    <x:mergeCell ref="B8:F8"/>
    <x:mergeCell ref="B9:F9"/>
    <x:mergeCell ref="A11:F11"/>
    <x:mergeCell ref="B12:F12"/>
    <x:mergeCell ref="B13:F13"/>
    <x:mergeCell ref="B14:F14"/>
    <x:mergeCell ref="B15:F15"/>
    <x:mergeCell ref="B16:F16"/>
    <x:mergeCell ref="A18:F18"/>
    <x:mergeCell ref="B19:F19"/>
    <x:mergeCell ref="B20:F20"/>
    <x:mergeCell ref="B21:F21"/>
    <x:mergeCell ref="B22:F22"/>
    <x:mergeCell ref="B23:F23"/>
    <x:mergeCell ref="B24:F24"/>
    <x:mergeCell ref="A26:F26"/>
    <x:mergeCell ref="B27:F27"/>
    <x:mergeCell ref="B28:F28"/>
    <x:mergeCell ref="B29:F29"/>
    <x:mergeCell ref="B30:F30"/>
    <x:mergeCell ref="A32:F32"/>
    <x:mergeCell ref="B33:F33"/>
    <x:mergeCell ref="B34:F34"/>
    <x:mergeCell ref="B35:F35"/>
    <x:mergeCell ref="B36:F36"/>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1" hidden="0" customWidth="1"/>
    <x:col min="2" max="2" width="24" hidden="0" customWidth="1"/>
    <x:col min="3" max="3" width="29" hidden="0" customWidth="1"/>
    <x:col min="4" max="4" width="44" hidden="0" customWidth="1"/>
    <x:col min="5" max="5" width="22" hidden="0" customWidth="1"/>
    <x:col min="6" max="6" width="31" hidden="0" customWidth="1"/>
    <x:col min="7" max="7" width="12" hidden="0" customWidth="1"/>
    <x:col min="8" max="8" width="14" hidden="0" customWidth="1"/>
    <x:col min="9" max="9" width="18" hidden="0" customWidth="1"/>
    <x:col min="10" max="10" width="18" hidden="0" customWidth="1"/>
    <x:col min="11" max="11" width="32" hidden="0" customWidth="1"/>
    <x:col min="12" max="12" width="52" hidden="0" customWidth="1"/>
    <x:col min="13" max="13" width="42" hidden="0" customWidth="1"/>
    <x:col min="14" max="14" width="48" hidden="0" customWidth="1"/>
    <x:col min="15" max="15" width="42" hidden="0" customWidth="1"/>
  </x:cols>
  <x:sheetData>
    <x:row r="1" ht="34" customHeight="1">
      <x:c r="A1" s="132" t="str">
        <x:v>JaniWheels Complete Functionality &amp; Development Status Tracker</x:v>
      </x:c>
      <x:c r="B1" s="132"/>
      <x:c r="C1" s="132"/>
      <x:c r="D1" s="132"/>
      <x:c r="E1" s="132"/>
      <x:c r="F1" s="132"/>
      <x:c r="G1" s="132"/>
      <x:c r="H1" s="132"/>
      <x:c r="I1" s="132"/>
      <x:c r="J1" s="132"/>
      <x:c r="K1" s="132"/>
      <x:c r="L1" s="132"/>
      <x:c r="M1" s="132"/>
      <x:c r="N1" s="132"/>
      <x:c r="O1" s="132"/>
    </x:row>
    <x:row r="2" ht="24" customHeight="1">
      <x:c r="A2" s="133" t="str">
        <x:v>Repository reconciliation: 30 Sep 2026 | Homepage visuals approved by owner; commit 936baee pushed to origin/codex/homepage-visuals | Full checks, lint and build passed | Final cross-route browser/DB and live Google Maps acceptance remain open</x:v>
      </x:c>
      <x:c r="B2" s="133"/>
      <x:c r="C2" s="133"/>
      <x:c r="D2" s="133"/>
      <x:c r="E2" s="133"/>
      <x:c r="F2" s="133"/>
      <x:c r="G2" s="133"/>
      <x:c r="H2" s="133"/>
      <x:c r="I2" s="133"/>
      <x:c r="J2" s="133"/>
      <x:c r="K2" s="133"/>
      <x:c r="L2" s="133"/>
      <x:c r="M2" s="133"/>
      <x:c r="N2" s="133"/>
      <x:c r="O2" s="133"/>
    </x:row>
    <x:row r="3">
      <x:c r="A3" s="88"/>
      <x:c r="B3" s="88"/>
      <x:c r="C3" s="88"/>
      <x:c r="D3" s="88"/>
      <x:c r="E3" s="88"/>
      <x:c r="F3" s="88"/>
      <x:c r="G3" s="88"/>
      <x:c r="H3" s="88"/>
      <x:c r="I3" s="88"/>
      <x:c r="J3" s="88"/>
      <x:c r="K3" s="88"/>
      <x:c r="L3" s="88"/>
      <x:c r="M3" s="88"/>
      <x:c r="N3" s="88"/>
      <x:c r="O3" s="88"/>
    </x:row>
    <x:row r="4" ht="38" customHeight="1">
      <x:c r="A4" s="134" t="str">
        <x:v>ID</x:v>
      </x:c>
      <x:c r="B4" s="134" t="str">
        <x:v>Module</x:v>
      </x:c>
      <x:c r="C4" s="134" t="str">
        <x:v>Feature</x:v>
      </x:c>
      <x:c r="D4" s="134" t="str">
        <x:v>Detailed Requirement</x:v>
      </x:c>
      <x:c r="E4" s="134" t="str">
        <x:v>Scope</x:v>
      </x:c>
      <x:c r="F4" s="134" t="str">
        <x:v>Status</x:v>
      </x:c>
      <x:c r="G4" s="134" t="str">
        <x:v>Completion</x:v>
      </x:c>
      <x:c r="H4" s="134" t="str">
        <x:v>Priority</x:v>
      </x:c>
      <x:c r="I4" s="134" t="str">
        <x:v>Development Stage</x:v>
      </x:c>
      <x:c r="J4" s="134" t="str">
        <x:v>Owner</x:v>
      </x:c>
      <x:c r="K4" s="134" t="str">
        <x:v>Dependency / Prerequisite</x:v>
      </x:c>
      <x:c r="L4" s="134" t="str">
        <x:v>Definition of Done / Acceptance Criteria</x:v>
      </x:c>
      <x:c r="M4" s="134" t="str">
        <x:v>Required Testing</x:v>
      </x:c>
      <x:c r="N4" s="134" t="str">
        <x:v>Current Evidence / Gap</x:v>
      </x:c>
      <x:c r="O4" s="134" t="str">
        <x:v>Next Action</x:v>
      </x:c>
    </x:row>
    <x:row r="5">
      <x:c r="A5" s="135" t="str">
        <x:v>JW-001</x:v>
      </x:c>
      <x:c r="B5" s="135" t="str">
        <x:v>Project Foundation</x:v>
      </x:c>
      <x:c r="C5" s="135" t="str">
        <x:v>Application architecture</x:v>
      </x:c>
      <x:c r="D5" s="136" t="str">
        <x:v>Next.js 15 App Router, React 19 and TypeScript foundation</x:v>
      </x:c>
      <x:c r="E5" s="136" t="str">
        <x:v>Technical Foundation</x:v>
      </x:c>
      <x:c r="F5" s="136" t="str">
        <x:v>Completed</x:v>
      </x:c>
      <x:c r="G5" s="137" t="n">
        <x:v>1</x:v>
      </x:c>
      <x:c r="H5" s="136" t="str">
        <x:v>High</x:v>
      </x:c>
      <x:c r="I5" s="136" t="str">
        <x:v>Stage 0</x:v>
      </x:c>
      <x:c r="J5" s="136" t="str">
        <x:v>Unassigned</x:v>
      </x:c>
      <x:c r="K5" s="136" t="str">
        <x:v>None</x:v>
      </x:c>
      <x:c r="L5" s="136" t="str">
        <x:v>Application compiles with strict TypeScript and routes use the shared App Router layout.</x:v>
      </x:c>
      <x:c r="M5" s="136" t="str">
        <x:v>Typecheck; production compilation; route smoke test</x:v>
      </x:c>
      <x:c r="N5" s="136" t="str">
        <x:v>Framework and scripts are present in package.json.</x:v>
      </x:c>
      <x:c r="O5" s="136" t="str">
        <x:v>Maintain during every feature branch.</x:v>
      </x:c>
    </x:row>
    <x:row r="6">
      <x:c r="A6" s="135" t="str">
        <x:v>JW-002</x:v>
      </x:c>
      <x:c r="B6" s="135" t="str">
        <x:v>Project Foundation</x:v>
      </x:c>
      <x:c r="C6" s="135" t="str">
        <x:v>Styling system</x:v>
      </x:c>
      <x:c r="D6" s="136" t="str">
        <x:v>Tailwind CSS 4 and shared responsive styling</x:v>
      </x:c>
      <x:c r="E6" s="136" t="str">
        <x:v>Technical Foundation</x:v>
      </x:c>
      <x:c r="F6" s="136" t="str">
        <x:v>Completed</x:v>
      </x:c>
      <x:c r="G6" s="137" t="n">
        <x:v>1</x:v>
      </x:c>
      <x:c r="H6" s="136" t="str">
        <x:v>High</x:v>
      </x:c>
      <x:c r="I6" s="136" t="str">
        <x:v>Stage 0</x:v>
      </x:c>
      <x:c r="J6" s="136" t="str">
        <x:v>Unassigned</x:v>
      </x:c>
      <x:c r="K6" s="136" t="str">
        <x:v>Application architecture</x:v>
      </x:c>
      <x:c r="L6" s="136" t="str">
        <x:v>Shared styles load on all routes without overflow or hydration defects.</x:v>
      </x:c>
      <x:c r="M6" s="136" t="str">
        <x:v>Desktop/tablet/mobile visual regression</x:v>
      </x:c>
      <x:c r="N6" s="136" t="str">
        <x:v>Tailwind and globals.css are active.</x:v>
      </x:c>
      <x:c r="O6" s="136" t="str">
        <x:v>Add reusable tokens/components as design matures.</x:v>
      </x:c>
    </x:row>
    <x:row r="7">
      <x:c r="A7" s="135" t="str">
        <x:v>JW-003</x:v>
      </x:c>
      <x:c r="B7" s="135" t="str">
        <x:v>Project Foundation</x:v>
      </x:c>
      <x:c r="C7" s="135" t="str">
        <x:v>Database architecture</x:v>
      </x:c>
      <x:c r="D7" s="136" t="str">
        <x:v>PostgreSQL with Drizzle ORM and relational V1 schema</x:v>
      </x:c>
      <x:c r="E7" s="136" t="str">
        <x:v>Technical Foundation</x:v>
      </x:c>
      <x:c r="F7" s="136" t="str">
        <x:v>Completed</x:v>
      </x:c>
      <x:c r="G7" s="137" t="n">
        <x:v>1</x:v>
      </x:c>
      <x:c r="H7" s="136" t="str">
        <x:v>Critical</x:v>
      </x:c>
      <x:c r="I7" s="136" t="str">
        <x:v>Stage 0</x:v>
      </x:c>
      <x:c r="J7" s="136" t="str">
        <x:v>Unassigned</x:v>
      </x:c>
      <x:c r="K7" s="136" t="str">
        <x:v>PostgreSQL</x:v>
      </x:c>
      <x:c r="L7" s="136" t="str">
        <x:v>All V1 tables migrate on a clean database and foreign keys/indexes are valid.</x:v>
      </x:c>
      <x:c r="M7" s="136" t="str">
        <x:v>Clean migration; rollback plan review; schema integrity test</x:v>
      </x:c>
      <x:c r="N7" s="136" t="str">
        <x:v>V1 migration and schema files exist.</x:v>
      </x:c>
      <x:c r="O7" s="136" t="str">
        <x:v>Add migrations per feature; never edit production data manually.</x:v>
      </x:c>
    </x:row>
    <x:row r="8">
      <x:c r="A8" s="135" t="str">
        <x:v>JW-004</x:v>
      </x:c>
      <x:c r="B8" s="135" t="str">
        <x:v>Project Foundation</x:v>
      </x:c>
      <x:c r="C8" s="135" t="str">
        <x:v>Reference data seeds</x:v>
      </x:c>
      <x:c r="D8" s="136" t="str">
        <x:v>Cities, areas, makes, models, variants, features and part categories</x:v>
      </x:c>
      <x:c r="E8" s="136" t="str">
        <x:v>Technical Foundation</x:v>
      </x:c>
      <x:c r="F8" s="136" t="str">
        <x:v>Completed</x:v>
      </x:c>
      <x:c r="G8" s="137" t="n">
        <x:v>1</x:v>
      </x:c>
      <x:c r="H8" s="136" t="str">
        <x:v>Critical</x:v>
      </x:c>
      <x:c r="I8" s="136" t="str">
        <x:v>Stage 0</x:v>
      </x:c>
      <x:c r="J8" s="136" t="str">
        <x:v>Unassigned</x:v>
      </x:c>
      <x:c r="K8" s="136" t="str">
        <x:v>Database schema</x:v>
      </x:c>
      <x:c r="L8" s="136" t="str">
        <x:v>Seed runs repeatedly without duplicate/conflicting taxonomy records.</x:v>
      </x:c>
      <x:c r="M8" s="136" t="str">
        <x:v>Fresh seed; idempotency; taxonomy count checks</x:v>
      </x:c>
      <x:c r="N8" s="136" t="str">
        <x:v>db:seed scripts are present and working locally.</x:v>
      </x:c>
      <x:c r="O8" s="136" t="str">
        <x:v>Expand and validate production taxonomy before launch.</x:v>
      </x:c>
    </x:row>
    <x:row r="9">
      <x:c r="A9" s="135" t="str">
        <x:v>JW-005</x:v>
      </x:c>
      <x:c r="B9" s="135" t="str">
        <x:v>Project Foundation</x:v>
      </x:c>
      <x:c r="C9" s="135" t="str">
        <x:v>Demo inventory seed</x:v>
      </x:c>
      <x:c r="D9" s="136" t="str">
        <x:v>Non-production demonstration listings</x:v>
      </x:c>
      <x:c r="E9" s="136" t="str">
        <x:v>Technical Foundation</x:v>
      </x:c>
      <x:c r="F9" s="136" t="str">
        <x:v>Completed</x:v>
      </x:c>
      <x:c r="G9" s="137" t="n">
        <x:v>1</x:v>
      </x:c>
      <x:c r="H9" s="136" t="str">
        <x:v>Low</x:v>
      </x:c>
      <x:c r="I9" s="136" t="str">
        <x:v>Stage 0</x:v>
      </x:c>
      <x:c r="J9" s="136" t="str">
        <x:v>Unassigned</x:v>
      </x:c>
      <x:c r="K9" s="136" t="str">
        <x:v>Reference data</x:v>
      </x:c>
      <x:c r="L9" s="136" t="str">
        <x:v>Demo seed creates representative cars, bikes and parts only in development.</x:v>
      </x:c>
      <x:c r="M9" s="136" t="str">
        <x:v>Run on disposable DB; verify never included in deployment</x:v>
      </x:c>
      <x:c r="N9" s="136" t="str">
        <x:v>src/db/seed/demo.ts exists.</x:v>
      </x:c>
      <x:c r="O9" s="136" t="str">
        <x:v>Keep explicit production warning.</x:v>
      </x:c>
    </x:row>
    <x:row r="10">
      <x:c r="A10" s="135" t="str">
        <x:v>JW-006</x:v>
      </x:c>
      <x:c r="B10" s="135" t="str">
        <x:v>Project Foundation</x:v>
      </x:c>
      <x:c r="C10" s="135" t="str">
        <x:v>Environment template</x:v>
      </x:c>
      <x:c r="D10" s="136" t="str">
        <x:v>Document required database, site, auth, media and cron variables</x:v>
      </x:c>
      <x:c r="E10" s="136" t="str">
        <x:v>Technical Foundation</x:v>
      </x:c>
      <x:c r="F10" s="136" t="str">
        <x:v>Partially Implemented</x:v>
      </x:c>
      <x:c r="G10" s="137" t="n">
        <x:v>0.7</x:v>
      </x:c>
      <x:c r="H10" s="136" t="str">
        <x:v>High</x:v>
      </x:c>
      <x:c r="I10" s="136" t="str">
        <x:v>Stage 0</x:v>
      </x:c>
      <x:c r="J10" s="136" t="str">
        <x:v>Backend</x:v>
      </x:c>
      <x:c r="K10" s="136" t="str">
        <x:v>Deployment decisions</x:v>
      </x:c>
      <x:c r="L10" s="136" t="str">
        <x:v>Every documented variable maps to an implemented provider and startup validation catches missing values.</x:v>
      </x:c>
      <x:c r="M10" s="136" t="str">
        <x:v>Boot with missing/valid variables; configuration audit</x:v>
      </x:c>
      <x:c r="N10" s="136" t="str">
        <x:v>Environment template now documents local/Cloudflare media and rejects unsupported provider values. a96704b moves local storage outside public/. The template still refers to a missing src/lib/env.ts and unused/future settings; comprehensive startup validation is not implemented.</x:v>
      </x:c>
      <x:c r="O10" s="136" t="str">
        <x:v>Audit documented variables against consumers and implement safe startup validation for required deployment settings.</x:v>
      </x:c>
    </x:row>
    <x:row r="11">
      <x:c r="A11" s="135" t="str">
        <x:v>JW-007</x:v>
      </x:c>
      <x:c r="B11" s="135" t="str">
        <x:v>Project Foundation</x:v>
      </x:c>
      <x:c r="C11" s="135" t="str">
        <x:v>GitHub workflow</x:v>
      </x:c>
      <x:c r="D11" s="136" t="str">
        <x:v>Feature branch, commit, push, local review and approved merge</x:v>
      </x:c>
      <x:c r="E11" s="136" t="str">
        <x:v>Technical Foundation</x:v>
      </x:c>
      <x:c r="F11" s="136" t="str">
        <x:v>Completed</x:v>
      </x:c>
      <x:c r="G11" s="137" t="n">
        <x:v>1</x:v>
      </x:c>
      <x:c r="H11" s="136" t="str">
        <x:v>Critical</x:v>
      </x:c>
      <x:c r="I11" s="136" t="str">
        <x:v>Stage 0</x:v>
      </x:c>
      <x:c r="J11" s="136" t="str">
        <x:v>Unassigned</x:v>
      </x:c>
      <x:c r="K11" s="136" t="str">
        <x:v>GitHub access</x:v>
      </x:c>
      <x:c r="L11" s="136" t="str">
        <x:v>No feature is merged before local review and explicit approval.</x:v>
      </x:c>
      <x:c r="M11" s="136" t="str">
        <x:v>Branch protection/process review</x:v>
      </x:c>
      <x:c r="N11" s="136" t="str">
        <x:v>PR #1 merged; PR #2 is open for homepage review.</x:v>
      </x:c>
      <x:c r="O11" s="136" t="str">
        <x:v>Continue one logical feature per branch.</x:v>
      </x:c>
    </x:row>
    <x:row r="12">
      <x:c r="A12" s="135" t="str">
        <x:v>JW-008</x:v>
      </x:c>
      <x:c r="B12" s="135" t="str">
        <x:v>Project Foundation</x:v>
      </x:c>
      <x:c r="C12" s="135" t="str">
        <x:v>CI pipeline</x:v>
      </x:c>
      <x:c r="D12" s="136" t="str">
        <x:v>Automated typecheck, lint, tests and build on pull requests</x:v>
      </x:c>
      <x:c r="E12" s="136" t="str">
        <x:v>Technical Foundation</x:v>
      </x:c>
      <x:c r="F12" s="136" t="str">
        <x:v>Partially Implemented</x:v>
      </x:c>
      <x:c r="G12" s="137" t="n">
        <x:v>0.85</x:v>
      </x:c>
      <x:c r="H12" s="136" t="str">
        <x:v>Critical</x:v>
      </x:c>
      <x:c r="I12" s="136" t="str">
        <x:v>Stage 6</x:v>
      </x:c>
      <x:c r="J12" s="136" t="str">
        <x:v>DevOps</x:v>
      </x:c>
      <x:c r="K12" s="136" t="str">
        <x:v>GitHub Actions</x:v>
      </x:c>
      <x:c r="L12" s="136" t="str">
        <x:v>Every PR is blocked when any required check fails.</x:v>
      </x:c>
      <x:c r="M12" s="136" t="str">
        <x:v>Deliberately failing test; protected-branch verification</x:v>
      </x:c>
      <x:c r="N12" s="136" t="str">
        <x:v>GitHub run 37 passed all quality/acceptance gates on a96704b: https://github.com/Tech-Orbit-Systems/JaniWheels/actions/runs/37035200489 . Branch protection and a deliberate failing-check merge block remain unverified.</x:v>
      </x:c>
      <x:c r="O12" s="136" t="str">
        <x:v>Mark check required in branch protection and demonstrate deliberate failure blocks merge.</x:v>
      </x:c>
    </x:row>
    <x:row r="13">
      <x:c r="A13" s="135" t="str">
        <x:v>JW-009</x:v>
      </x:c>
      <x:c r="B13" s="135" t="str">
        <x:v>Project Foundation</x:v>
      </x:c>
      <x:c r="C13" s="135" t="str">
        <x:v>Staging environment</x:v>
      </x:c>
      <x:c r="D13" s="136" t="str">
        <x:v>Persistent online preview connected to a staging database and media store</x:v>
      </x:c>
      <x:c r="E13" s="136" t="str">
        <x:v>Technical Foundation</x:v>
      </x:c>
      <x:c r="F13" s="136" t="str">
        <x:v>Pending</x:v>
      </x:c>
      <x:c r="G13" s="137" t="n">
        <x:v>0</x:v>
      </x:c>
      <x:c r="H13" s="136" t="str">
        <x:v>High</x:v>
      </x:c>
      <x:c r="I13" s="136" t="str">
        <x:v>Stage 6</x:v>
      </x:c>
      <x:c r="J13" s="136" t="str">
        <x:v>Unassigned</x:v>
      </x:c>
      <x:c r="K13" s="136" t="str">
        <x:v>Hosting, DB, image provider</x:v>
      </x:c>
      <x:c r="L13" s="136" t="str">
        <x:v>Each review branch can be tested without using production data or production secrets.</x:v>
      </x:c>
      <x:c r="M13" s="136" t="str">
        <x:v>Deployment smoke; robots noindex; data isolation</x:v>
      </x:c>
      <x:c r="N13" s="136" t="str">
        <x:v>CI creates an isolated ephemeral test environment; persistent hosted preview is not configured.</x:v>
      </x:c>
      <x:c r="O13" s="136" t="str">
        <x:v>Select hosting, separate staging DB and durable media; then verify noindex and deployment smoke.</x:v>
      </x:c>
    </x:row>
    <x:row r="14">
      <x:c r="A14" s="135" t="str">
        <x:v>JW-010</x:v>
      </x:c>
      <x:c r="B14" s="135" t="str">
        <x:v>Project Foundation</x:v>
      </x:c>
      <x:c r="C14" s="135" t="str">
        <x:v>Safe production build</x:v>
      </x:c>
      <x:c r="D14" s="136" t="str">
        <x:v>Separate Next.js build directory while dev server runs</x:v>
      </x:c>
      <x:c r="E14" s="136" t="str">
        <x:v>Technical Foundation</x:v>
      </x:c>
      <x:c r="F14" s="136" t="str">
        <x:v>Completed</x:v>
      </x:c>
      <x:c r="G14" s="137" t="n">
        <x:v>1</x:v>
      </x:c>
      <x:c r="H14" s="136" t="str">
        <x:v>Medium</x:v>
      </x:c>
      <x:c r="I14" s="136" t="str">
        <x:v>Stage 0</x:v>
      </x:c>
      <x:c r="J14" s="136" t="str">
        <x:v>Unassigned</x:v>
      </x:c>
      <x:c r="K14" s="136" t="str">
        <x:v>Build scripts</x:v>
      </x:c>
      <x:c r="L14" s="136" t="str">
        <x:v>Build does not corrupt the active development .next directory.</x:v>
      </x:c>
      <x:c r="M14" s="136" t="str">
        <x:v>Run dev and build:safe concurrently</x:v>
      </x:c>
      <x:c r="N14" s="136" t="str">
        <x:v>build:safe writes to .next-build.</x:v>
      </x:c>
      <x:c r="O14" s="136" t="str">
        <x:v>Keep this as the standard build command.</x:v>
      </x:c>
    </x:row>
    <x:row r="15">
      <x:c r="A15" s="135" t="str">
        <x:v>JW-011</x:v>
      </x:c>
      <x:c r="B15" s="135" t="str">
        <x:v>Project Foundation</x:v>
      </x:c>
      <x:c r="C15" s="135" t="str">
        <x:v>Whole-site route sweep</x:v>
      </x:c>
      <x:c r="D15" s="136" t="str">
        <x:v>Crawl routes, headings, errors and broken local images</x:v>
      </x:c>
      <x:c r="E15" s="136" t="str">
        <x:v>Technical Foundation</x:v>
      </x:c>
      <x:c r="F15" s="136" t="str">
        <x:v>Completed</x:v>
      </x:c>
      <x:c r="G15" s="137" t="n">
        <x:v>1</x:v>
      </x:c>
      <x:c r="H15" s="136" t="str">
        <x:v>High</x:v>
      </x:c>
      <x:c r="I15" s="136" t="str">
        <x:v>Stage 0</x:v>
      </x:c>
      <x:c r="J15" s="136" t="str">
        <x:v>Unassigned</x:v>
      </x:c>
      <x:c r="K15" s="136" t="str">
        <x:v>Running app and seeded DB</x:v>
      </x:c>
      <x:c r="L15" s="136" t="str">
        <x:v>Sweep returns zero issues for static routes, facets, details and dealer pages.</x:v>
      </x:c>
      <x:c r="M15" s="136" t="str">
        <x:v>npm run sweep on every route-changing branch</x:v>
      </x:c>
      <x:c r="N15" s="136" t="str">
        <x:v>Fresh isolated acceptance checks 101 URLs with zero issues. Final media rebuild follow-up checked 103 URLs with zero issues. GitHub run 37 passed on a96704b.</x:v>
      </x:c>
      <x:c r="O15" s="136" t="str">
        <x:v>Keep the sweep in CI and add routes as functionality grows.</x:v>
      </x:c>
    </x:row>
    <x:row r="16">
      <x:c r="A16" s="135" t="str">
        <x:v>JW-012</x:v>
      </x:c>
      <x:c r="B16" s="135" t="str">
        <x:v>Project Foundation</x:v>
      </x:c>
      <x:c r="C16" s="135" t="str">
        <x:v>Unit and integration test framework</x:v>
      </x:c>
      <x:c r="D16" s="136" t="str">
        <x:v>Automated business-logic and database tests beyond SEO assertions</x:v>
      </x:c>
      <x:c r="E16" s="136" t="str">
        <x:v>Technical Foundation</x:v>
      </x:c>
      <x:c r="F16" s="136" t="str">
        <x:v>Partially Implemented</x:v>
      </x:c>
      <x:c r="G16" s="137" t="n">
        <x:v>0.75</x:v>
      </x:c>
      <x:c r="H16" s="136" t="str">
        <x:v>Critical</x:v>
      </x:c>
      <x:c r="I16" s="136" t="str">
        <x:v>Stage 1</x:v>
      </x:c>
      <x:c r="J16" s="136" t="str">
        <x:v>QA</x:v>
      </x:c>
      <x:c r="K16" s="136" t="str">
        <x:v>Test runner and isolated DB</x:v>
      </x:c>
      <x:c r="L16" s="136" t="str">
        <x:v>Critical actions are tested for success, validation, authorization and rollback.</x:v>
      </x:c>
      <x:c r="M16" s="136" t="str">
        <x:v>Unit; integration; transaction tests</x:v>
      </x:c>
      <x:c r="N16" s="136" t="str">
        <x:v>Reviewed estimate 75%: automated framework and five isolated DB checks are operational, including concurrent rate limits and actual upload-claim rollback, duplicate/reuse/foreign-key denial. HTTP authorization suite also proves publish/edit denial and owner/admin success. Wider transaction failure/concurrency coverage is incomplete.</x:v>
      </x:c>
      <x:c r="O16" s="136" t="str">
        <x:v>Extend transaction rollback and concurrency checks to publication, edits, moderation and service-request updates.</x:v>
      </x:c>
    </x:row>
    <x:row r="17">
      <x:c r="A17" s="135" t="str">
        <x:v>JW-013</x:v>
      </x:c>
      <x:c r="B17" s="135" t="str">
        <x:v>Project Foundation</x:v>
      </x:c>
      <x:c r="C17" s="135" t="str">
        <x:v>End-to-end browser tests</x:v>
      </x:c>
      <x:c r="D17" s="136" t="str">
        <x:v>Automate key buyer, seller, dealer and admin journeys</x:v>
      </x:c>
      <x:c r="E17" s="136" t="str">
        <x:v>Technical Foundation</x:v>
      </x:c>
      <x:c r="F17" s="136" t="str">
        <x:v>Complete on Feature Branch - Awaiting Review</x:v>
      </x:c>
      <x:c r="G17" s="137" t="n">
        <x:v>1</x:v>
      </x:c>
      <x:c r="H17" s="136" t="str">
        <x:v>Critical</x:v>
      </x:c>
      <x:c r="I17" s="136" t="str">
        <x:v>Stage 1</x:v>
      </x:c>
      <x:c r="J17" s="136" t="str">
        <x:v>QA</x:v>
      </x:c>
      <x:c r="K17" s="136" t="str">
        <x:v>Stable staging/test DB</x:v>
      </x:c>
      <x:c r="L17" s="136" t="str">
        <x:v>Core journeys pass in Chromium at desktop and mobile viewports.</x:v>
      </x:c>
      <x:c r="M17" s="136" t="str">
        <x:v>E2E happy path; negative path; accessibility</x:v>
      </x:c>
      <x:c r="N17" s="136" t="str">
        <x:v>Clean isolated acceptance: 101 browser passes, 1 planned skip, 5 DB checks and 101-route sweep with zero issues. Check, lint and build pass; max First Load JS 128 KB. Framework remains verified on feature branch awaiting PR #6 review; additional live/device acceptance remains separately tracked.</x:v>
      </x:c>
      <x:c r="O17" s="136" t="str">
        <x:v>Review PR #6; retain regression coverage. Track additional cases in JW-177 rather than reopening the test-framework implementation.</x:v>
      </x:c>
    </x:row>
    <x:row r="18">
      <x:c r="A18" s="135" t="str">
        <x:v>JW-014</x:v>
      </x:c>
      <x:c r="B18" s="135" t="str">
        <x:v>Project Foundation</x:v>
      </x:c>
      <x:c r="C18" s="135" t="str">
        <x:v>Dependency security</x:v>
      </x:c>
      <x:c r="D18" s="136" t="str">
        <x:v>Monitor and resolve vulnerable packages without unsafe forced upgrades</x:v>
      </x:c>
      <x:c r="E18" s="136" t="str">
        <x:v>Technical Foundation</x:v>
      </x:c>
      <x:c r="F18" s="136" t="str">
        <x:v>Completed</x:v>
      </x:c>
      <x:c r="G18" s="137" t="n">
        <x:v>1</x:v>
      </x:c>
      <x:c r="H18" s="136" t="str">
        <x:v>Critical</x:v>
      </x:c>
      <x:c r="I18" s="136" t="str">
        <x:v>Stage 1</x:v>
      </x:c>
      <x:c r="J18" s="136" t="str">
        <x:v>Unassigned</x:v>
      </x:c>
      <x:c r="K18" s="136" t="str">
        <x:v>Package audit</x:v>
      </x:c>
      <x:c r="L18" s="136" t="str">
        <x:v>No unresolved high/critical production vulnerability remains at launch.</x:v>
      </x:c>
      <x:c r="M18" s="136" t="str">
        <x:v>npm audit review; regression build</x:v>
      </x:c>
      <x:c r="N18" s="136" t="str">
        <x:v>30 Sep 2026: Next.js 15.5.26, sharp 0.35.5 and patched PostCSS/js-yaml installed. npm audit --omit=dev reports zero vulnerabilities; checks, lint, build, 100-route sweep and 13 Chromium tests pass.</x:v>
      </x:c>
      <x:c r="O18" s="136" t="str">
        <x:v>Monitor advisories in CI; four moderate development-only esbuild advisories await a compatible upstream Drizzle kit update.</x:v>
      </x:c>
    </x:row>
    <x:row r="19">
      <x:c r="A19" s="135" t="str">
        <x:v>JW-015</x:v>
      </x:c>
      <x:c r="B19" s="135" t="str">
        <x:v>Homepage &amp; Global UI</x:v>
      </x:c>
      <x:c r="C19" s="135" t="str">
        <x:v>Official brand logo</x:v>
      </x:c>
      <x:c r="D19" s="136" t="str">
        <x:v>Transparent JaniWheels logo in global header/footer</x:v>
      </x:c>
      <x:c r="E19" s="136" t="str">
        <x:v>Signed V1</x:v>
      </x:c>
      <x:c r="F19" s="136" t="str">
        <x:v>Completed</x:v>
      </x:c>
      <x:c r="G19" s="137" t="n">
        <x:v>1</x:v>
      </x:c>
      <x:c r="H19" s="136" t="str">
        <x:v>High</x:v>
      </x:c>
      <x:c r="I19" s="136" t="str">
        <x:v>Stage 0</x:v>
      </x:c>
      <x:c r="J19" s="136" t="str">
        <x:v>Unassigned</x:v>
      </x:c>
      <x:c r="K19" s="136" t="str">
        <x:v>Homepage branch review</x:v>
      </x:c>
      <x:c r="L19" s="136" t="str">
        <x:v>Approved logo renders sharply on light/dark backgrounds and mobile.</x:v>
      </x:c>
      <x:c r="M19" s="136" t="str">
        <x:v>Visual check; image dimensions; alt text</x:v>
      </x:c>
      <x:c r="N19" s="136" t="str">
        <x:v>Homepage redesign is present in current branch ancestry and automated project checks pass; final branding/responsive acceptance is intentionally deferred.</x:v>
      </x:c>
      <x:c r="O19" s="136" t="str">
        <x:v>Retain in final regression and comprehensive browser QA.</x:v>
      </x:c>
    </x:row>
    <x:row r="20">
      <x:c r="A20" s="135" t="str">
        <x:v>JW-016</x:v>
      </x:c>
      <x:c r="B20" s="135" t="str">
        <x:v>Homepage &amp; Global UI</x:v>
      </x:c>
      <x:c r="C20" s="135" t="str">
        <x:v>Sticky desktop header</x:v>
      </x:c>
      <x:c r="D20" s="136" t="str">
        <x:v>Logo, scoped navigation, account and Post an Ad action</x:v>
      </x:c>
      <x:c r="E20" s="136" t="str">
        <x:v>Signed V1</x:v>
      </x:c>
      <x:c r="F20" s="136" t="str">
        <x:v>Completed</x:v>
      </x:c>
      <x:c r="G20" s="137" t="n">
        <x:v>1</x:v>
      </x:c>
      <x:c r="H20" s="136" t="str">
        <x:v>High</x:v>
      </x:c>
      <x:c r="I20" s="136" t="str">
        <x:v>Stage 0</x:v>
      </x:c>
      <x:c r="J20" s="136" t="str">
        <x:v>Unassigned</x:v>
      </x:c>
      <x:c r="K20" s="136" t="str">
        <x:v>Working routes</x:v>
      </x:c>
      <x:c r="L20" s="136" t="str">
        <x:v>Header remains usable while scrolling and contains no dead/out-of-scope links.</x:v>
      </x:c>
      <x:c r="M20" s="136" t="str">
        <x:v>Keyboard navigation; responsive; route links</x:v>
      </x:c>
      <x:c r="N20" s="136" t="str">
        <x:v>Homepage redesign is present in current branch ancestry and automated project checks pass; final branding/responsive acceptance is intentionally deferred.</x:v>
      </x:c>
      <x:c r="O20" s="136" t="str">
        <x:v>Retain in final regression and comprehensive browser QA.</x:v>
      </x:c>
    </x:row>
    <x:row r="21">
      <x:c r="A21" s="135" t="str">
        <x:v>JW-017</x:v>
      </x:c>
      <x:c r="B21" s="135" t="str">
        <x:v>Homepage &amp; Global UI</x:v>
      </x:c>
      <x:c r="C21" s="135" t="str">
        <x:v>Mobile navigation</x:v>
      </x:c>
      <x:c r="D21" s="136" t="str">
        <x:v>Accessible compact navigation menu with Post an Ad</x:v>
      </x:c>
      <x:c r="E21" s="136" t="str">
        <x:v>Signed V1</x:v>
      </x:c>
      <x:c r="F21" s="136" t="str">
        <x:v>Completed</x:v>
      </x:c>
      <x:c r="G21" s="137" t="n">
        <x:v>1</x:v>
      </x:c>
      <x:c r="H21" s="136" t="str">
        <x:v>Critical</x:v>
      </x:c>
      <x:c r="I21" s="136" t="str">
        <x:v>Stage 0</x:v>
      </x:c>
      <x:c r="J21" s="136" t="str">
        <x:v>Unassigned</x:v>
      </x:c>
      <x:c r="K21" s="136" t="str">
        <x:v>Header</x:v>
      </x:c>
      <x:c r="L21" s="136" t="str">
        <x:v>Menu opens, links are tappable, focus is usable and no horizontal overflow occurs.</x:v>
      </x:c>
      <x:c r="M21" s="136" t="str">
        <x:v>360/390/414 px; keyboard; screen reader labels</x:v>
      </x:c>
      <x:c r="N21" s="136" t="str">
        <x:v>Homepage redesign is present in current branch ancestry and automated project checks pass; final branding/responsive acceptance is intentionally deferred.</x:v>
      </x:c>
      <x:c r="O21" s="136" t="str">
        <x:v>Retain in final regression and comprehensive browser QA.</x:v>
      </x:c>
    </x:row>
    <x:row r="22">
      <x:c r="A22" s="135" t="str">
        <x:v>JW-018</x:v>
      </x:c>
      <x:c r="B22" s="135" t="str">
        <x:v>Homepage &amp; Global UI</x:v>
      </x:c>
      <x:c r="C22" s="135" t="str">
        <x:v>Hero section</x:v>
      </x:c>
      <x:c r="D22" s="136" t="str">
        <x:v>Premium black/charcoal automotive hero with gold accents</x:v>
      </x:c>
      <x:c r="E22" s="136" t="str">
        <x:v>Signed V1</x:v>
      </x:c>
      <x:c r="F22" s="136" t="str">
        <x:v>Completed</x:v>
      </x:c>
      <x:c r="G22" s="137" t="n">
        <x:v>1</x:v>
      </x:c>
      <x:c r="H22" s="136" t="str">
        <x:v>Medium</x:v>
      </x:c>
      <x:c r="I22" s="136" t="str">
        <x:v>Stage 0</x:v>
      </x:c>
      <x:c r="J22" s="136" t="str">
        <x:v>Unassigned</x:v>
      </x:c>
      <x:c r="K22" s="136" t="str">
        <x:v>Brand assets</x:v>
      </x:c>
      <x:c r="L22" s="136" t="str">
        <x:v>Hero hierarchy is clear and does not delay LCP with heavy media.</x:v>
      </x:c>
      <x:c r="M22" s="136" t="str">
        <x:v>Visual regression; performance; contrast</x:v>
      </x:c>
      <x:c r="N22" s="136" t="str">
        <x:v>Three-frame sedan/SUV/bike hero with optimized assets, decorative alt text and reduced-motion fallback was visually approved by owner and pushed in 936baee. Full checks, lint and 128 kB max First Load JS build passed.</x:v>
      </x:c>
      <x:c r="O22" s="136" t="str">
        <x:v>Retain hero transitions and reduced-motion behavior in final regression and responsive QA.</x:v>
      </x:c>
    </x:row>
    <x:row r="23">
      <x:c r="A23" s="135" t="str">
        <x:v>JW-019</x:v>
      </x:c>
      <x:c r="B23" s="135" t="str">
        <x:v>Homepage &amp; Global UI</x:v>
      </x:c>
      <x:c r="C23" s="135" t="str">
        <x:v>Homepage category tabs</x:v>
      </x:c>
      <x:c r="D23" s="136" t="str">
        <x:v>Cars, Bikes and Auto Parts switcher</x:v>
      </x:c>
      <x:c r="E23" s="136" t="str">
        <x:v>Signed V1</x:v>
      </x:c>
      <x:c r="F23" s="136" t="str">
        <x:v>Completed</x:v>
      </x:c>
      <x:c r="G23" s="137" t="n">
        <x:v>1</x:v>
      </x:c>
      <x:c r="H23" s="136" t="str">
        <x:v>High</x:v>
      </x:c>
      <x:c r="I23" s="136" t="str">
        <x:v>Stage 0</x:v>
      </x:c>
      <x:c r="J23" s="136" t="str">
        <x:v>Unassigned</x:v>
      </x:c>
      <x:c r="K23" s="136" t="str">
        <x:v>Taxonomy data</x:v>
      </x:c>
      <x:c r="L23" s="136" t="str">
        <x:v>Changing category resets incompatible fields and builds the correct browse URL.</x:v>
      </x:c>
      <x:c r="M23" s="136" t="str">
        <x:v>All three tabs; reset state; keyboard</x:v>
      </x:c>
      <x:c r="N23" s="136" t="str">
        <x:v>Homepage redesign is present in current branch ancestry and automated project checks pass; final branding/responsive acceptance is intentionally deferred.</x:v>
      </x:c>
      <x:c r="O23" s="136" t="str">
        <x:v>Retain in final regression and comprehensive browser QA.</x:v>
      </x:c>
    </x:row>
    <x:row r="24">
      <x:c r="A24" s="135" t="str">
        <x:v>JW-020</x:v>
      </x:c>
      <x:c r="B24" s="135" t="str">
        <x:v>Homepage &amp; Global UI</x:v>
      </x:c>
      <x:c r="C24" s="135" t="str">
        <x:v>Homepage primary search</x:v>
      </x:c>
      <x:c r="D24" s="136" t="str">
        <x:v>Make/model/category and location selectors with real routes</x:v>
      </x:c>
      <x:c r="E24" s="136" t="str">
        <x:v>Signed V1</x:v>
      </x:c>
      <x:c r="F24" s="136" t="str">
        <x:v>Completed</x:v>
      </x:c>
      <x:c r="G24" s="137" t="n">
        <x:v>1</x:v>
      </x:c>
      <x:c r="H24" s="136" t="str">
        <x:v>Critical</x:v>
      </x:c>
      <x:c r="I24" s="136" t="str">
        <x:v>Stage 0</x:v>
      </x:c>
      <x:c r="J24" s="136" t="str">
        <x:v>Unassigned</x:v>
      </x:c>
      <x:c r="K24" s="136" t="str">
        <x:v>Search route parser</x:v>
      </x:c>
      <x:c r="L24" s="136" t="str">
        <x:v>Every selection produces a canonical working results URL and no fake counts.</x:v>
      </x:c>
      <x:c r="M24" s="136" t="str">
        <x:v>Cars/bikes/parts combinations; empty selection</x:v>
      </x:c>
      <x:c r="N24" s="136" t="str">
        <x:v>Homepage redesign is present in current branch ancestry and automated project checks pass; final branding/responsive acceptance is intentionally deferred.</x:v>
      </x:c>
      <x:c r="O24" s="136" t="str">
        <x:v>Retain in final regression and comprehensive browser QA.</x:v>
      </x:c>
    </x:row>
    <x:row r="25">
      <x:c r="A25" s="135" t="str">
        <x:v>JW-021</x:v>
      </x:c>
      <x:c r="B25" s="135" t="str">
        <x:v>Homepage &amp; Global UI</x:v>
      </x:c>
      <x:c r="C25" s="135" t="str">
        <x:v>Homepage secondary filters</x:v>
      </x:c>
      <x:c r="D25" s="136" t="str">
        <x:v>Minimum/maximum price and model year</x:v>
      </x:c>
      <x:c r="E25" s="136" t="str">
        <x:v>Signed V1</x:v>
      </x:c>
      <x:c r="F25" s="136" t="str">
        <x:v>Completed</x:v>
      </x:c>
      <x:c r="G25" s="137" t="n">
        <x:v>1</x:v>
      </x:c>
      <x:c r="H25" s="136" t="str">
        <x:v>High</x:v>
      </x:c>
      <x:c r="I25" s="136" t="str">
        <x:v>Stage 0</x:v>
      </x:c>
      <x:c r="J25" s="136" t="str">
        <x:v>Unassigned</x:v>
      </x:c>
      <x:c r="K25" s="136" t="str">
        <x:v>Range parsing</x:v>
      </x:c>
      <x:c r="L25" s="136" t="str">
        <x:v>Valid ranges filter correctly; invalid/inverted inputs are handled clearly.</x:v>
      </x:c>
      <x:c r="M25" s="136" t="str">
        <x:v>Boundary; empty; inverted ranges; mobile drawer</x:v>
      </x:c>
      <x:c r="N25" s="136" t="str">
        <x:v>Homepage redesign is present in current branch ancestry and automated project checks pass; final branding/responsive acceptance is intentionally deferred.</x:v>
      </x:c>
      <x:c r="O25" s="136" t="str">
        <x:v>Retain in final regression and comprehensive browser QA.</x:v>
      </x:c>
    </x:row>
    <x:row r="26">
      <x:c r="A26" s="135" t="str">
        <x:v>JW-022</x:v>
      </x:c>
      <x:c r="B26" s="135" t="str">
        <x:v>Homepage &amp; Global UI</x:v>
      </x:c>
      <x:c r="C26" s="135" t="str">
        <x:v>Mobile more-filters panel</x:v>
      </x:c>
      <x:c r="D26" s="136" t="str">
        <x:v>Secondary filters collapsed on mobile</x:v>
      </x:c>
      <x:c r="E26" s="136" t="str">
        <x:v>Signed V1</x:v>
      </x:c>
      <x:c r="F26" s="136" t="str">
        <x:v>Completed</x:v>
      </x:c>
      <x:c r="G26" s="137" t="n">
        <x:v>1</x:v>
      </x:c>
      <x:c r="H26" s="136" t="str">
        <x:v>High</x:v>
      </x:c>
      <x:c r="I26" s="136" t="str">
        <x:v>Stage 0</x:v>
      </x:c>
      <x:c r="J26" s="136" t="str">
        <x:v>Unassigned</x:v>
      </x:c>
      <x:c r="K26" s="136" t="str">
        <x:v>Homepage filters</x:v>
      </x:c>
      <x:c r="L26" s="136" t="str">
        <x:v>Panel is discoverable, keyboard operable and preserves selected values.</x:v>
      </x:c>
      <x:c r="M26" s="136" t="str">
        <x:v>Mobile interaction; focus; screen reader</x:v>
      </x:c>
      <x:c r="N26" s="136" t="str">
        <x:v>Homepage redesign is present in current branch ancestry and automated project checks pass; final branding/responsive acceptance is intentionally deferred.</x:v>
      </x:c>
      <x:c r="O26" s="136" t="str">
        <x:v>Retain in final regression and comprehensive browser QA.</x:v>
      </x:c>
    </x:row>
    <x:row r="27">
      <x:c r="A27" s="135" t="str">
        <x:v>JW-023</x:v>
      </x:c>
      <x:c r="B27" s="135" t="str">
        <x:v>Homepage &amp; Global UI</x:v>
      </x:c>
      <x:c r="C27" s="135" t="str">
        <x:v>Browse by body type</x:v>
      </x:c>
      <x:c r="D27" s="136" t="str">
        <x:v>Swipeable car body-type navigation</x:v>
      </x:c>
      <x:c r="E27" s="136" t="str">
        <x:v>Signed V1</x:v>
      </x:c>
      <x:c r="F27" s="136" t="str">
        <x:v>Completed</x:v>
      </x:c>
      <x:c r="G27" s="137" t="n">
        <x:v>1</x:v>
      </x:c>
      <x:c r="H27" s="136" t="str">
        <x:v>Medium</x:v>
      </x:c>
      <x:c r="I27" s="136" t="str">
        <x:v>Stage 0</x:v>
      </x:c>
      <x:c r="J27" s="136" t="str">
        <x:v>Unassigned</x:v>
      </x:c>
      <x:c r="K27" s="136" t="str">
        <x:v>Body-type facet</x:v>
      </x:c>
      <x:c r="L27" s="136" t="str">
        <x:v>Each supported body type opens the correct filtered results.</x:v>
      </x:c>
      <x:c r="M27" s="136" t="str">
        <x:v>Every displayed body type; horizontal swipe</x:v>
      </x:c>
      <x:c r="N27" s="136" t="str">
        <x:v>Eight distinct optimized WebP body-type images were visually approved by owner and pushed in 936baee; branding regression checks pass.</x:v>
      </x:c>
      <x:c r="O27" s="136" t="str">
        <x:v>Retain all eight browse cards in final responsive and link regression QA.</x:v>
      </x:c>
    </x:row>
    <x:row r="28">
      <x:c r="A28" s="135" t="str">
        <x:v>JW-024</x:v>
      </x:c>
      <x:c r="B28" s="135" t="str">
        <x:v>Homepage &amp; Global UI</x:v>
      </x:c>
      <x:c r="C28" s="135" t="str">
        <x:v>Latest listings</x:v>
      </x:c>
      <x:c r="D28" s="136" t="str">
        <x:v>Cars, bikes and parts tabs with genuine active inventory</x:v>
      </x:c>
      <x:c r="E28" s="136" t="str">
        <x:v>Signed V1</x:v>
      </x:c>
      <x:c r="F28" s="136" t="str">
        <x:v>Completed</x:v>
      </x:c>
      <x:c r="G28" s="137" t="n">
        <x:v>1</x:v>
      </x:c>
      <x:c r="H28" s="136" t="str">
        <x:v>High</x:v>
      </x:c>
      <x:c r="I28" s="136" t="str">
        <x:v>Stage 0</x:v>
      </x:c>
      <x:c r="J28" s="136" t="str">
        <x:v>Unassigned</x:v>
      </x:c>
      <x:c r="K28" s="136" t="str">
        <x:v>Active listings</x:v>
      </x:c>
      <x:c r="L28" s="136" t="str">
        <x:v>Shows up to eight genuine active listings per vertical and accurate empty states.</x:v>
      </x:c>
      <x:c r="M28" s="136" t="str">
        <x:v>Data states; tab switching; card links</x:v>
      </x:c>
      <x:c r="N28" s="136" t="str">
        <x:v>Homepage redesign is present in current branch ancestry and automated project checks pass; final branding/responsive acceptance is intentionally deferred.</x:v>
      </x:c>
      <x:c r="O28" s="136" t="str">
        <x:v>Retain in final regression and comprehensive browser QA.</x:v>
      </x:c>
    </x:row>
    <x:row r="29">
      <x:c r="A29" s="135" t="str">
        <x:v>JW-025</x:v>
      </x:c>
      <x:c r="B29" s="135" t="str">
        <x:v>Homepage &amp; Global UI</x:v>
      </x:c>
      <x:c r="C29" s="135" t="str">
        <x:v>Verified dealers section</x:v>
      </x:c>
      <x:c r="D29" s="136" t="str">
        <x:v>Show only records with verifiedAt and accurate live listing counts</x:v>
      </x:c>
      <x:c r="E29" s="136" t="str">
        <x:v>Signed V1</x:v>
      </x:c>
      <x:c r="F29" s="136" t="str">
        <x:v>Completed</x:v>
      </x:c>
      <x:c r="G29" s="137" t="n">
        <x:v>1</x:v>
      </x:c>
      <x:c r="H29" s="136" t="str">
        <x:v>High</x:v>
      </x:c>
      <x:c r="I29" s="136" t="str">
        <x:v>Stage 0</x:v>
      </x:c>
      <x:c r="J29" s="136" t="str">
        <x:v>Unassigned</x:v>
      </x:c>
      <x:c r="K29" s="136" t="str">
        <x:v>Dealer verification data</x:v>
      </x:c>
      <x:c r="L29" s="136" t="str">
        <x:v>No unverified dealer receives a verified badge; section hides when empty.</x:v>
      </x:c>
      <x:c r="M29" s="136" t="str">
        <x:v>Verified/unverified/empty data cases</x:v>
      </x:c>
      <x:c r="N29" s="136" t="str">
        <x:v>Homepage redesign is present in current branch ancestry and automated project checks pass; final branding/responsive acceptance is intentionally deferred.</x:v>
      </x:c>
      <x:c r="O29" s="136" t="str">
        <x:v>Retain in final regression and comprehensive browser QA.</x:v>
      </x:c>
    </x:row>
    <x:row r="30">
      <x:c r="A30" s="135" t="str">
        <x:v>JW-026</x:v>
      </x:c>
      <x:c r="B30" s="135" t="str">
        <x:v>Homepage &amp; Global UI</x:v>
      </x:c>
      <x:c r="C30" s="135" t="str">
        <x:v>Inspection service section</x:v>
      </x:c>
      <x:c r="D30" s="136" t="str">
        <x:v>Request-based service card linked to /inspection</x:v>
      </x:c>
      <x:c r="E30" s="136" t="str">
        <x:v>Signed V1</x:v>
      </x:c>
      <x:c r="F30" s="136" t="str">
        <x:v>Completed</x:v>
      </x:c>
      <x:c r="G30" s="137" t="n">
        <x:v>1</x:v>
      </x:c>
      <x:c r="H30" s="136" t="str">
        <x:v>Medium</x:v>
      </x:c>
      <x:c r="I30" s="136" t="str">
        <x:v>Stage 0</x:v>
      </x:c>
      <x:c r="J30" s="136" t="str">
        <x:v>Unassigned</x:v>
      </x:c>
      <x:c r="K30" s="136" t="str">
        <x:v>Inspection route</x:v>
      </x:c>
      <x:c r="L30" s="136" t="str">
        <x:v>Copy makes no promise of automatic booking, pricing, scoring or payment.</x:v>
      </x:c>
      <x:c r="M30" s="136" t="str">
        <x:v>Link; copy review; responsive</x:v>
      </x:c>
      <x:c r="N30" s="136" t="str">
        <x:v>Homepage redesign is present in current branch ancestry and automated project checks pass; final branding/responsive acceptance is intentionally deferred.</x:v>
      </x:c>
      <x:c r="O30" s="136" t="str">
        <x:v>Retain in final regression and comprehensive browser QA.</x:v>
      </x:c>
    </x:row>
    <x:row r="31">
      <x:c r="A31" s="135" t="str">
        <x:v>JW-027</x:v>
      </x:c>
      <x:c r="B31" s="135" t="str">
        <x:v>Homepage &amp; Global UI</x:v>
      </x:c>
      <x:c r="C31" s="135" t="str">
        <x:v>Sell banner</x:v>
      </x:c>
      <x:c r="D31" s="136" t="str">
        <x:v>Post an Ad conversion banner</x:v>
      </x:c>
      <x:c r="E31" s="136" t="str">
        <x:v>Signed V1</x:v>
      </x:c>
      <x:c r="F31" s="136" t="str">
        <x:v>Completed</x:v>
      </x:c>
      <x:c r="G31" s="137" t="n">
        <x:v>1</x:v>
      </x:c>
      <x:c r="H31" s="136" t="str">
        <x:v>Medium</x:v>
      </x:c>
      <x:c r="I31" s="136" t="str">
        <x:v>Stage 0</x:v>
      </x:c>
      <x:c r="J31" s="136" t="str">
        <x:v>Unassigned</x:v>
      </x:c>
      <x:c r="K31" s="136" t="str">
        <x:v>Sell route</x:v>
      </x:c>
      <x:c r="L31" s="136" t="str">
        <x:v>CTA opens the working listing creation route and remains prominent on mobile.</x:v>
      </x:c>
      <x:c r="M31" s="136" t="str">
        <x:v>Link; responsive; contrast</x:v>
      </x:c>
      <x:c r="N31" s="136" t="str">
        <x:v>Optimized dark-sedan seller spotlight and reduced-motion fallback were visually approved by owner and pushed in 936baee.</x:v>
      </x:c>
      <x:c r="O31" s="136" t="str">
        <x:v>Retain banner readability and cropping in final responsive QA.</x:v>
      </x:c>
    </x:row>
    <x:row r="32">
      <x:c r="A32" s="135" t="str">
        <x:v>JW-028</x:v>
      </x:c>
      <x:c r="B32" s="135" t="str">
        <x:v>Homepage &amp; Global UI</x:v>
      </x:c>
      <x:c r="C32" s="135" t="str">
        <x:v>How it works</x:v>
      </x:c>
      <x:c r="D32" s="136" t="str">
        <x:v>Search, review and direct seller contact steps</x:v>
      </x:c>
      <x:c r="E32" s="136" t="str">
        <x:v>Signed V1</x:v>
      </x:c>
      <x:c r="F32" s="136" t="str">
        <x:v>Completed</x:v>
      </x:c>
      <x:c r="G32" s="137" t="n">
        <x:v>1</x:v>
      </x:c>
      <x:c r="H32" s="136" t="str">
        <x:v>Low</x:v>
      </x:c>
      <x:c r="I32" s="136" t="str">
        <x:v>Stage 0</x:v>
      </x:c>
      <x:c r="J32" s="136" t="str">
        <x:v>Unassigned</x:v>
      </x:c>
      <x:c r="K32" s="136" t="str">
        <x:v>Core buyer workflow</x:v>
      </x:c>
      <x:c r="L32" s="136" t="str">
        <x:v>Wording only describes currently supported behavior.</x:v>
      </x:c>
      <x:c r="M32" s="136" t="str">
        <x:v>Content and responsive review</x:v>
      </x:c>
      <x:c r="N32" s="136" t="str">
        <x:v>Homepage redesign is present in current branch ancestry and automated project checks pass; final branding/responsive acceptance is intentionally deferred.</x:v>
      </x:c>
      <x:c r="O32" s="136" t="str">
        <x:v>Retain in final regression and comprehensive browser QA.</x:v>
      </x:c>
    </x:row>
    <x:row r="33">
      <x:c r="A33" s="135" t="str">
        <x:v>JW-029</x:v>
      </x:c>
      <x:c r="B33" s="135" t="str">
        <x:v>Homepage &amp; Global UI</x:v>
      </x:c>
      <x:c r="C33" s="135" t="str">
        <x:v>Trust and safety</x:v>
      </x:c>
      <x:c r="D33" s="136" t="str">
        <x:v>Dealer badges, moderation and reporting explanation</x:v>
      </x:c>
      <x:c r="E33" s="136" t="str">
        <x:v>Signed V1</x:v>
      </x:c>
      <x:c r="F33" s="136" t="str">
        <x:v>Completed</x:v>
      </x:c>
      <x:c r="G33" s="137" t="n">
        <x:v>1</x:v>
      </x:c>
      <x:c r="H33" s="136" t="str">
        <x:v>Medium</x:v>
      </x:c>
      <x:c r="I33" s="136" t="str">
        <x:v>Stage 0</x:v>
      </x:c>
      <x:c r="J33" s="136" t="str">
        <x:v>Unassigned</x:v>
      </x:c>
      <x:c r="K33" s="136" t="str">
        <x:v>Trust workflows</x:v>
      </x:c>
      <x:c r="L33" s="136" t="str">
        <x:v>Does not claim every listing is verified or inspected.</x:v>
      </x:c>
      <x:c r="M33" s="136" t="str">
        <x:v>Content accuracy; link checks</x:v>
      </x:c>
      <x:c r="N33" s="136" t="str">
        <x:v>Homepage redesign is present in current branch ancestry and automated project checks pass; final branding/responsive acceptance is intentionally deferred.</x:v>
      </x:c>
      <x:c r="O33" s="136" t="str">
        <x:v>Retain in final regression and comprehensive browser QA.</x:v>
      </x:c>
    </x:row>
    <x:row r="34">
      <x:c r="A34" s="135" t="str">
        <x:v>JW-030</x:v>
      </x:c>
      <x:c r="B34" s="135" t="str">
        <x:v>Homepage &amp; Global UI</x:v>
      </x:c>
      <x:c r="C34" s="135" t="str">
        <x:v>Footer</x:v>
      </x:c>
      <x:c r="D34" s="136" t="str">
        <x:v>Marketplace/service links and Tech Orbit Systems attribution</x:v>
      </x:c>
      <x:c r="E34" s="136" t="str">
        <x:v>Signed V1</x:v>
      </x:c>
      <x:c r="F34" s="136" t="str">
        <x:v>Completed</x:v>
      </x:c>
      <x:c r="G34" s="137" t="n">
        <x:v>1</x:v>
      </x:c>
      <x:c r="H34" s="136" t="str">
        <x:v>Medium</x:v>
      </x:c>
      <x:c r="I34" s="136" t="str">
        <x:v>Stage 0</x:v>
      </x:c>
      <x:c r="J34" s="136" t="str">
        <x:v>Unassigned</x:v>
      </x:c>
      <x:c r="K34" s="136" t="str">
        <x:v>Available routes</x:v>
      </x:c>
      <x:c r="L34" s="136" t="str">
        <x:v>No dead links; Tech Orbit Systems opens https://techorbitsystems.com/ safely.</x:v>
      </x:c>
      <x:c r="M34" s="136" t="str">
        <x:v>All links; external rel attributes; mobile</x:v>
      </x:c>
      <x:c r="N34" s="136" t="str">
        <x:v>Homepage redesign is present in current branch ancestry and automated project checks pass; final branding/responsive acceptance is intentionally deferred.</x:v>
      </x:c>
      <x:c r="O34" s="136" t="str">
        <x:v>Retain in final regression and comprehensive browser QA.</x:v>
      </x:c>
    </x:row>
    <x:row r="35">
      <x:c r="A35" s="135" t="str">
        <x:v>JW-031</x:v>
      </x:c>
      <x:c r="B35" s="135" t="str">
        <x:v>Homepage &amp; Global UI</x:v>
      </x:c>
      <x:c r="C35" s="135" t="str">
        <x:v>Recently viewed section</x:v>
      </x:c>
      <x:c r="D35" s="136" t="str">
        <x:v>Conditional row based on visitor history</x:v>
      </x:c>
      <x:c r="E35" s="136" t="str">
        <x:v>Signed V1</x:v>
      </x:c>
      <x:c r="F35" s="136" t="str">
        <x:v>Completed</x:v>
      </x:c>
      <x:c r="G35" s="137" t="n">
        <x:v>1</x:v>
      </x:c>
      <x:c r="H35" s="136" t="str">
        <x:v>Medium</x:v>
      </x:c>
      <x:c r="I35" s="136" t="str">
        <x:v>Stage 3</x:v>
      </x:c>
      <x:c r="J35" s="136" t="str">
        <x:v>Unassigned</x:v>
      </x:c>
      <x:c r="K35" s="136" t="str">
        <x:v>Recently viewed persistence</x:v>
      </x:c>
      <x:c r="L35" s="136" t="str">
        <x:v>Section appears only with valid history and excludes removed/private listings.</x:v>
      </x:c>
      <x:c r="M35" s="136" t="str">
        <x:v>Anonymous/auth users; empty; stale items</x:v>
      </x:c>
      <x:c r="N35" s="136" t="str">
        <x:v>Recently viewed and saved-search prompt UI are implemented in the buyer discovery package.</x:v>
      </x:c>
      <x:c r="O35" s="136" t="str">
        <x:v>Retain in final regression and comprehensive browser QA.</x:v>
      </x:c>
    </x:row>
    <x:row r="36">
      <x:c r="A36" s="135" t="str">
        <x:v>JW-032</x:v>
      </x:c>
      <x:c r="B36" s="135" t="str">
        <x:v>Homepage &amp; Global UI</x:v>
      </x:c>
      <x:c r="C36" s="135" t="str">
        <x:v>Saved search prompt</x:v>
      </x:c>
      <x:c r="D36" s="136" t="str">
        <x:v>Save current search and receive matching alerts</x:v>
      </x:c>
      <x:c r="E36" s="136" t="str">
        <x:v>Signed V1</x:v>
      </x:c>
      <x:c r="F36" s="136" t="str">
        <x:v>Completed</x:v>
      </x:c>
      <x:c r="G36" s="137" t="n">
        <x:v>1</x:v>
      </x:c>
      <x:c r="H36" s="136" t="str">
        <x:v>Medium</x:v>
      </x:c>
      <x:c r="I36" s="136" t="str">
        <x:v>Stage 3</x:v>
      </x:c>
      <x:c r="J36" s="136" t="str">
        <x:v>Unassigned</x:v>
      </x:c>
      <x:c r="K36" s="136" t="str">
        <x:v>Saved search UI and alert engine</x:v>
      </x:c>
      <x:c r="L36" s="136" t="str">
        <x:v>Prompt creates a saved search and shows clear alert frequency/consent.</x:v>
      </x:c>
      <x:c r="M36" s="136" t="str">
        <x:v>Auth redirect; save; duplicate; alert delivery</x:v>
      </x:c>
      <x:c r="N36" s="136" t="str">
        <x:v>Recently viewed and saved-search prompt UI are implemented in the buyer discovery package.</x:v>
      </x:c>
      <x:c r="O36" s="136" t="str">
        <x:v>Retain in final regression and comprehensive browser QA.</x:v>
      </x:c>
    </x:row>
    <x:row r="37">
      <x:c r="A37" s="135" t="str">
        <x:v>JW-033</x:v>
      </x:c>
      <x:c r="B37" s="135" t="str">
        <x:v>Homepage &amp; Global UI</x:v>
      </x:c>
      <x:c r="C37" s="135" t="str">
        <x:v>Sell My Car Assistance card</x:v>
      </x:c>
      <x:c r="D37" s="136" t="str">
        <x:v>Second approved assistance service</x:v>
      </x:c>
      <x:c r="E37" s="136" t="str">
        <x:v>Signed V1</x:v>
      </x:c>
      <x:c r="F37" s="136" t="str">
        <x:v>Completed</x:v>
      </x:c>
      <x:c r="G37" s="137" t="n">
        <x:v>1</x:v>
      </x:c>
      <x:c r="H37" s="136" t="str">
        <x:v>High</x:v>
      </x:c>
      <x:c r="I37" s="136" t="str">
        <x:v>Stage 5</x:v>
      </x:c>
      <x:c r="J37" s="136" t="str">
        <x:v>Unassigned</x:v>
      </x:c>
      <x:c r="K37" s="136" t="str">
        <x:v>Sell My Car workflow</x:v>
      </x:c>
      <x:c r="L37" s="136" t="str">
        <x:v>Card links to a complete request flow with admin follow-up.</x:v>
      </x:c>
      <x:c r="M37" s="136" t="str">
        <x:v>Submission; validation; admin status</x:v>
      </x:c>
      <x:c r="N37" s="136" t="str">
        <x:v>Sell My Car Assistance homepage entry and request workflow are implemented.</x:v>
      </x:c>
      <x:c r="O37" s="136" t="str">
        <x:v>Retain in final regression and comprehensive browser QA.</x:v>
      </x:c>
    </x:row>
    <x:row r="38">
      <x:c r="A38" s="135" t="str">
        <x:v>JW-034</x:v>
      </x:c>
      <x:c r="B38" s="135" t="str">
        <x:v>Homepage &amp; Global UI</x:v>
      </x:c>
      <x:c r="C38" s="135" t="str">
        <x:v>Homepage accessibility</x:v>
      </x:c>
      <x:c r="D38" s="136" t="str">
        <x:v>Keyboard, focus, landmarks, labels and contrast</x:v>
      </x:c>
      <x:c r="E38" s="136" t="str">
        <x:v>Signed V1</x:v>
      </x:c>
      <x:c r="F38" s="136" t="str">
        <x:v>Partially Implemented</x:v>
      </x:c>
      <x:c r="G38" s="137" t="n">
        <x:v>0.97</x:v>
      </x:c>
      <x:c r="H38" s="136" t="str">
        <x:v>High</x:v>
      </x:c>
      <x:c r="I38" s="136" t="str">
        <x:v>Stage 6</x:v>
      </x:c>
      <x:c r="J38" s="136" t="str">
        <x:v>Unassigned</x:v>
      </x:c>
      <x:c r="K38" s="136" t="str">
        <x:v>Merged UI</x:v>
      </x:c>
      <x:c r="L38" s="136" t="str">
        <x:v>WCAG-oriented manual and automated audit finds no critical issues.</x:v>
      </x:c>
      <x:c r="M38" s="136" t="str">
        <x:v>axe; keyboard-only; zoom 200%; contrast</x:v>
      </x:c>
      <x:c r="N38" s="136" t="str">
        <x:v>Automated axe-core audit covers 34 public, seller, dealer, administrator and vehicle-detail routes on desktop/mobile with no violations. Forms, landmarks, listing detail CTA, recent-history text and customer histories now pass contrast/label checks. Keyboard skip link passes; homepage visuals remain owner-approved.</x:v>
      </x:c>
      <x:c r="O38" s="136" t="str">
        <x:v>Complete manual screen-reader, keyboard, zoom and reduced-motion review on real devices during launch acceptance.</x:v>
      </x:c>
    </x:row>
    <x:row r="39">
      <x:c r="A39" s="135" t="str">
        <x:v>JW-035</x:v>
      </x:c>
      <x:c r="B39" s="135" t="str">
        <x:v>Homepage &amp; Global UI</x:v>
      </x:c>
      <x:c r="C39" s="135" t="str">
        <x:v>Responsive visual QA</x:v>
      </x:c>
      <x:c r="D39" s="136" t="str">
        <x:v>Desktop, tablet and mobile review with real data</x:v>
      </x:c>
      <x:c r="E39" s="136" t="str">
        <x:v>Signed V1</x:v>
      </x:c>
      <x:c r="F39" s="136" t="str">
        <x:v>Partially Implemented</x:v>
      </x:c>
      <x:c r="G39" s="137" t="n">
        <x:v>0.9</x:v>
      </x:c>
      <x:c r="H39" s="136" t="str">
        <x:v>High</x:v>
      </x:c>
      <x:c r="I39" s="136" t="str">
        <x:v>Stage 0</x:v>
      </x:c>
      <x:c r="J39" s="136" t="str">
        <x:v>QA</x:v>
      </x:c>
      <x:c r="K39" s="136" t="str">
        <x:v>Local branch preview</x:v>
      </x:c>
      <x:c r="L39" s="136" t="str">
        <x:v>No clipping, overflow, overlap or unusable tap targets at agreed viewports.</x:v>
      </x:c>
      <x:c r="M39" s="136" t="str">
        <x:v>1440, 1024, 768, 414, 390, 360 px</x:v>
      </x:c>
      <x:c r="N39" s="136" t="str">
        <x:v>Reviewed estimate 90%: owner-approved homepage merged via PR #5; automated desktop/mobile route checks and iPhone WebKit smoke pass, including overflow checks. Broader tablet, real-device, keyboard/camera and slow-network visual acceptance remains open.</x:v>
      </x:c>
      <x:c r="O39" s="136" t="str">
        <x:v>Complete remaining tablet/real-device visual review and record issues by route.</x:v>
      </x:c>
    </x:row>
    <x:row r="40">
      <x:c r="A40" s="135" t="str">
        <x:v>JW-036</x:v>
      </x:c>
      <x:c r="B40" s="135" t="str">
        <x:v>Authentication</x:v>
      </x:c>
      <x:c r="C40" s="135" t="str">
        <x:v>User registration</x:v>
      </x:c>
      <x:c r="D40" s="136" t="str">
        <x:v>Name, email, optional Pakistani mobile number and password registration with verified email before sign-in</x:v>
      </x:c>
      <x:c r="E40" s="136" t="str">
        <x:v>Signed V1</x:v>
      </x:c>
      <x:c r="F40" s="136" t="str">
        <x:v>Completed</x:v>
      </x:c>
      <x:c r="G40" s="137" t="n">
        <x:v>1</x:v>
      </x:c>
      <x:c r="H40" s="136" t="str">
        <x:v>Critical</x:v>
      </x:c>
      <x:c r="I40" s="136" t="str">
        <x:v>Stage 1</x:v>
      </x:c>
      <x:c r="J40" s="136" t="str">
        <x:v>Unassigned</x:v>
      </x:c>
      <x:c r="K40" s="136" t="str">
        <x:v>Users table</x:v>
      </x:c>
      <x:c r="L40" s="136" t="str">
        <x:v>Valid unique user receives verification email, verifies once and can then sign in; invalid/duplicate data returns safe field errors.</x:v>
      </x:c>
      <x:c r="M40" s="136" t="str">
        <x:v>Happy path; duplicates; invalid phone/email/password; DB failure</x:v>
      </x:c>
      <x:c r="N40" s="136" t="str">
        <x:v>Desktop/mobile Chromium and isolated PostgreSQL confirm registration, email verification, one-use and expiry checks, and no session before verification; duplicate email and malformed name/password are rejected without a new user.</x:v>
      </x:c>
      <x:c r="O40" s="136" t="str">
        <x:v>Production email provider configuration and final live browser acceptance remain open; direct-action invalid email/phone and DB-failure cases remain in security regression.</x:v>
      </x:c>
    </x:row>
    <x:row r="41">
      <x:c r="A41" s="135" t="str">
        <x:v>JW-037</x:v>
      </x:c>
      <x:c r="B41" s="135" t="str">
        <x:v>Authentication</x:v>
      </x:c>
      <x:c r="C41" s="135" t="str">
        <x:v>User login</x:v>
      </x:c>
      <x:c r="D41" s="136" t="str">
        <x:v>Mobile-number and password authentication</x:v>
      </x:c>
      <x:c r="E41" s="136" t="str">
        <x:v>Signed V1</x:v>
      </x:c>
      <x:c r="F41" s="136" t="str">
        <x:v>Completed</x:v>
      </x:c>
      <x:c r="G41" s="137" t="n">
        <x:v>1</x:v>
      </x:c>
      <x:c r="H41" s="136" t="str">
        <x:v>Critical</x:v>
      </x:c>
      <x:c r="I41" s="136" t="str">
        <x:v>Stage 1</x:v>
      </x:c>
      <x:c r="J41" s="136" t="str">
        <x:v>Unassigned</x:v>
      </x:c>
      <x:c r="K41" s="136" t="str">
        <x:v>Registered account</x:v>
      </x:c>
      <x:c r="L41" s="136" t="str">
        <x:v>Correct credentials create a session; wrong/banned credentials reveal no sensitive distinction.</x:v>
      </x:c>
      <x:c r="M41" s="136" t="str">
        <x:v>Valid; wrong password; unknown user; banned user</x:v>
      </x:c>
      <x:c r="N41" s="136" t="str">
        <x:v>Password login has timing protection and PostgreSQL rate limits. Desktop/mobile tests cover valid, invalid, banned and unverified accounts, retry limits and password-reset session revocation.</x:v>
      </x:c>
      <x:c r="O41" s="136" t="str">
        <x:v>Retain CI regression; verify production cookie/origin/provider configuration at launch.</x:v>
      </x:c>
    </x:row>
    <x:row r="42">
      <x:c r="A42" s="135" t="str">
        <x:v>JW-038</x:v>
      </x:c>
      <x:c r="B42" s="135" t="str">
        <x:v>Authentication</x:v>
      </x:c>
      <x:c r="C42" s="135" t="str">
        <x:v>Logout</x:v>
      </x:c>
      <x:c r="D42" s="136" t="str">
        <x:v>Destroy server session and clear cookie</x:v>
      </x:c>
      <x:c r="E42" s="136" t="str">
        <x:v>Signed V1</x:v>
      </x:c>
      <x:c r="F42" s="136" t="str">
        <x:v>Completed</x:v>
      </x:c>
      <x:c r="G42" s="137" t="n">
        <x:v>1</x:v>
      </x:c>
      <x:c r="H42" s="136" t="str">
        <x:v>High</x:v>
      </x:c>
      <x:c r="I42" s="136" t="str">
        <x:v>Stage 1</x:v>
      </x:c>
      <x:c r="J42" s="136" t="str">
        <x:v>Unassigned</x:v>
      </x:c>
      <x:c r="K42" s="136" t="str">
        <x:v>Active session</x:v>
      </x:c>
      <x:c r="L42" s="136" t="str">
        <x:v>Logout invalidates the database session and returns to the homepage.</x:v>
      </x:c>
      <x:c r="M42" s="136" t="str">
        <x:v>Cookie/session deletion; repeated logout</x:v>
      </x:c>
      <x:c r="N42" s="136" t="str">
        <x:v>Account menu wires logoutAction.</x:v>
      </x:c>
      <x:c r="O42" s="136" t="str">
        <x:v>Add E2E test.</x:v>
      </x:c>
    </x:row>
    <x:row r="43">
      <x:c r="A43" s="135" t="str">
        <x:v>JW-039</x:v>
      </x:c>
      <x:c r="B43" s="135" t="str">
        <x:v>Authentication</x:v>
      </x:c>
      <x:c r="C43" s="135" t="str">
        <x:v>Session security</x:v>
      </x:c>
      <x:c r="D43" s="136" t="str">
        <x:v>Random token cookie with hashed token stored in database</x:v>
      </x:c>
      <x:c r="E43" s="136" t="str">
        <x:v>Signed V1</x:v>
      </x:c>
      <x:c r="F43" s="136" t="str">
        <x:v>Completed</x:v>
      </x:c>
      <x:c r="G43" s="137" t="n">
        <x:v>1</x:v>
      </x:c>
      <x:c r="H43" s="136" t="str">
        <x:v>Critical</x:v>
      </x:c>
      <x:c r="I43" s="136" t="str">
        <x:v>Stage 1</x:v>
      </x:c>
      <x:c r="J43" s="136" t="str">
        <x:v>Unassigned</x:v>
      </x:c>
      <x:c r="K43" s="136" t="str">
        <x:v>Session table</x:v>
      </x:c>
      <x:c r="L43" s="136" t="str">
        <x:v>Cookie is HTTP-only, SameSite=Lax and Secure in production; DB leak does not expose raw tokens.</x:v>
      </x:c>
      <x:c r="M43" s="136" t="str">
        <x:v>Cookie flags; expiry; tampered token</x:v>
      </x:c>
      <x:c r="N43" s="136" t="str">
        <x:v>Implemented in session.ts.</x:v>
      </x:c>
      <x:c r="O43" s="136" t="str">
        <x:v>Verify on HTTPS staging.</x:v>
      </x:c>
    </x:row>
    <x:row r="44">
      <x:c r="A44" s="135" t="str">
        <x:v>JW-040</x:v>
      </x:c>
      <x:c r="B44" s="135" t="str">
        <x:v>Authentication</x:v>
      </x:c>
      <x:c r="C44" s="135" t="str">
        <x:v>Session expiry</x:v>
      </x:c>
      <x:c r="D44" s="136" t="str">
        <x:v>Reject expired sessions and purge them through cron</x:v>
      </x:c>
      <x:c r="E44" s="136" t="str">
        <x:v>Signed V1</x:v>
      </x:c>
      <x:c r="F44" s="136" t="str">
        <x:v>Completed</x:v>
      </x:c>
      <x:c r="G44" s="137" t="n">
        <x:v>1</x:v>
      </x:c>
      <x:c r="H44" s="136" t="str">
        <x:v>High</x:v>
      </x:c>
      <x:c r="I44" s="136" t="str">
        <x:v>Stage 1</x:v>
      </x:c>
      <x:c r="J44" s="136" t="str">
        <x:v>Unassigned</x:v>
      </x:c>
      <x:c r="K44" s="136" t="str">
        <x:v>Cron scheduler</x:v>
      </x:c>
      <x:c r="L44" s="136" t="str">
        <x:v>Expired sessions cannot authenticate and scheduled purge runs reliably.</x:v>
      </x:c>
      <x:c r="M44" s="136" t="str">
        <x:v>Expired cookie; purge job auth; scheduler failure</x:v>
      </x:c>
      <x:c r="N44" s="136" t="str">
        <x:v>Account-management implementation includes session handling and secure password-reset flow; automated checks pass.</x:v>
      </x:c>
      <x:c r="O44" s="136" t="str">
        <x:v>Retain in final regression and comprehensive browser QA.</x:v>
      </x:c>
    </x:row>
    <x:row r="45">
      <x:c r="A45" s="135" t="str">
        <x:v>JW-041</x:v>
      </x:c>
      <x:c r="B45" s="135" t="str">
        <x:v>Authentication</x:v>
      </x:c>
      <x:c r="C45" s="135" t="str">
        <x:v>Safe post-login redirect</x:v>
      </x:c>
      <x:c r="D45" s="136" t="str">
        <x:v>Allow only same-site relative next destinations</x:v>
      </x:c>
      <x:c r="E45" s="136" t="str">
        <x:v>Signed V1</x:v>
      </x:c>
      <x:c r="F45" s="136" t="str">
        <x:v>Completed</x:v>
      </x:c>
      <x:c r="G45" s="137" t="n">
        <x:v>1</x:v>
      </x:c>
      <x:c r="H45" s="136" t="str">
        <x:v>High</x:v>
      </x:c>
      <x:c r="I45" s="136" t="str">
        <x:v>Stage 1</x:v>
      </x:c>
      <x:c r="J45" s="136" t="str">
        <x:v>Unassigned</x:v>
      </x:c>
      <x:c r="K45" s="136" t="str">
        <x:v>Login flow</x:v>
      </x:c>
      <x:c r="L45" s="136" t="str">
        <x:v>External or protocol-relative redirect values are rejected.</x:v>
      </x:c>
      <x:c r="M45" s="136" t="str">
        <x:v>Open-redirect payloads; valid internal paths</x:v>
      </x:c>
      <x:c r="N45" s="136" t="str">
        <x:v>safeNext is implemented.</x:v>
      </x:c>
      <x:c r="O45" s="136" t="str">
        <x:v>Add unit tests.</x:v>
      </x:c>
    </x:row>
    <x:row r="46">
      <x:c r="A46" s="135" t="str">
        <x:v>JW-042</x:v>
      </x:c>
      <x:c r="B46" s="135" t="str">
        <x:v>Authentication</x:v>
      </x:c>
      <x:c r="C46" s="135" t="str">
        <x:v>Password hashing</x:v>
      </x:c>
      <x:c r="D46" s="136" t="str">
        <x:v>Scrypt password storage and constant-time verification behavior</x:v>
      </x:c>
      <x:c r="E46" s="136" t="str">
        <x:v>Signed V1</x:v>
      </x:c>
      <x:c r="F46" s="136" t="str">
        <x:v>Completed</x:v>
      </x:c>
      <x:c r="G46" s="137" t="n">
        <x:v>1</x:v>
      </x:c>
      <x:c r="H46" s="136" t="str">
        <x:v>Critical</x:v>
      </x:c>
      <x:c r="I46" s="136" t="str">
        <x:v>Stage 1</x:v>
      </x:c>
      <x:c r="J46" s="136" t="str">
        <x:v>Unassigned</x:v>
      </x:c>
      <x:c r="K46" s="136" t="str">
        <x:v>Auth actions</x:v>
      </x:c>
      <x:c r="L46" s="136" t="str">
        <x:v>No plaintext password is stored or logged.</x:v>
      </x:c>
      <x:c r="M46" s="136" t="str">
        <x:v>Hash format; valid/invalid password; timing review</x:v>
      </x:c>
      <x:c r="N46" s="136" t="str">
        <x:v>Password utility is in use.</x:v>
      </x:c>
      <x:c r="O46" s="136" t="str">
        <x:v>Add security unit tests.</x:v>
      </x:c>
    </x:row>
    <x:row r="47">
      <x:c r="A47" s="135" t="str">
        <x:v>JW-043</x:v>
      </x:c>
      <x:c r="B47" s="135" t="str">
        <x:v>Authentication</x:v>
      </x:c>
      <x:c r="C47" s="135" t="str">
        <x:v>Forgot password</x:v>
      </x:c>
      <x:c r="D47" s="136" t="str">
        <x:v>Start account recovery using the approved secure channel</x:v>
      </x:c>
      <x:c r="E47" s="136" t="str">
        <x:v>Signed V1</x:v>
      </x:c>
      <x:c r="F47" s="136" t="str">
        <x:v>Completed</x:v>
      </x:c>
      <x:c r="G47" s="137" t="n">
        <x:v>1</x:v>
      </x:c>
      <x:c r="H47" s="136" t="str">
        <x:v>Critical</x:v>
      </x:c>
      <x:c r="I47" s="136" t="str">
        <x:v>Stage 2</x:v>
      </x:c>
      <x:c r="J47" s="136" t="str">
        <x:v>Unassigned</x:v>
      </x:c>
      <x:c r="K47" s="136" t="str">
        <x:v>Email delivery decision</x:v>
      </x:c>
      <x:c r="L47" s="136" t="str">
        <x:v>User can request recovery without revealing whether the account exists.</x:v>
      </x:c>
      <x:c r="M47" s="136" t="str">
        <x:v>Known/unknown account; throttling; expiry</x:v>
      </x:c>
      <x:c r="N47" s="136" t="str">
        <x:v>Desktop/mobile Chromium confirms recovery email link capture in isolated acceptance mode; unknown-account response remains non-enumerating in automated checks.</x:v>
      </x:c>
      <x:c r="O47" s="136" t="str">
        <x:v>Configure production email provider and complete live delivery acceptance; throttling remains in security regression.</x:v>
      </x:c>
    </x:row>
    <x:row r="48">
      <x:c r="A48" s="135" t="str">
        <x:v>JW-044</x:v>
      </x:c>
      <x:c r="B48" s="135" t="str">
        <x:v>Authentication</x:v>
      </x:c>
      <x:c r="C48" s="135" t="str">
        <x:v>Password reset</x:v>
      </x:c>
      <x:c r="D48" s="136" t="str">
        <x:v>Single-use expiring reset token and password update</x:v>
      </x:c>
      <x:c r="E48" s="136" t="str">
        <x:v>Signed V1</x:v>
      </x:c>
      <x:c r="F48" s="136" t="str">
        <x:v>Completed</x:v>
      </x:c>
      <x:c r="G48" s="137" t="n">
        <x:v>1</x:v>
      </x:c>
      <x:c r="H48" s="136" t="str">
        <x:v>Critical</x:v>
      </x:c>
      <x:c r="I48" s="136" t="str">
        <x:v>Stage 2</x:v>
      </x:c>
      <x:c r="J48" s="136" t="str">
        <x:v>Unassigned</x:v>
      </x:c>
      <x:c r="K48" s="136" t="str">
        <x:v>Forgot-password flow</x:v>
      </x:c>
      <x:c r="L48" s="136" t="str">
        <x:v>Valid token resets password, invalid/expired/reused token fails and old sessions are revoked.</x:v>
      </x:c>
      <x:c r="M48" s="136" t="str">
        <x:v>Token lifecycle; password policy; session revocation</x:v>
      </x:c>
      <x:c r="N48" s="136" t="str">
        <x:v>Desktop/mobile Chromium and isolated PostgreSQL confirm a single-use reset link, hashed token, expiry denial, existing-session revocation, old-password denial and new-password sign-in.</x:v>
      </x:c>
      <x:c r="O48" s="136" t="str">
        <x:v>Production email delivery and final live browser acceptance remain open.</x:v>
      </x:c>
    </x:row>
    <x:row r="49">
      <x:c r="A49" s="135" t="str">
        <x:v>JW-045</x:v>
      </x:c>
      <x:c r="B49" s="135" t="str">
        <x:v>Authentication</x:v>
      </x:c>
      <x:c r="C49" s="135" t="str">
        <x:v>Authentication rate limiting</x:v>
      </x:c>
      <x:c r="D49" s="136" t="str">
        <x:v>Throttle registration, login and recovery abuse</x:v>
      </x:c>
      <x:c r="E49" s="136" t="str">
        <x:v>Signed V1</x:v>
      </x:c>
      <x:c r="F49" s="136" t="str">
        <x:v>Partially Implemented</x:v>
      </x:c>
      <x:c r="G49" s="137" t="n">
        <x:v>0.97</x:v>
      </x:c>
      <x:c r="H49" s="136" t="str">
        <x:v>Critical</x:v>
      </x:c>
      <x:c r="I49" s="136" t="str">
        <x:v>Stage 1</x:v>
      </x:c>
      <x:c r="J49" s="136" t="str">
        <x:v>Unassigned</x:v>
      </x:c>
      <x:c r="K49" s="136" t="str">
        <x:v>Rate-limit store</x:v>
      </x:c>
      <x:c r="L49" s="136" t="str">
        <x:v>Limits apply by IP and account identifier without blocking normal users.</x:v>
      </x:c>
      <x:c r="M49" s="136" t="str">
        <x:v>Burst; distributed attempts; reset window; proxy headers</x:v>
      </x:c>
      <x:c r="N49" s="136" t="str">
        <x:v>PostgreSQL-backed atomic limits cover sign-in, registration, reset and verification actions; Google sign-in start now limits configured IP requests. Successful sign-in clears the account attempt bucket. Concurrent DB and desktop/mobile browser retry tests pass.</x:v>
      </x:c>
      <x:c r="O49" s="136" t="str">
        <x:v>Verify Google provider path, trusted proxy IP headers, thresholds and alerting in staging.</x:v>
      </x:c>
    </x:row>
    <x:row r="50">
      <x:c r="A50" s="135" t="str">
        <x:v>JW-046</x:v>
      </x:c>
      <x:c r="B50" s="135" t="str">
        <x:v>Authentication</x:v>
      </x:c>
      <x:c r="C50" s="135" t="str">
        <x:v>CSRF and origin protection</x:v>
      </x:c>
      <x:c r="D50" s="136" t="str">
        <x:v>Verify state-changing browser actions cannot be submitted cross-site</x:v>
      </x:c>
      <x:c r="E50" s="136" t="str">
        <x:v>Signed V1</x:v>
      </x:c>
      <x:c r="F50" s="136" t="str">
        <x:v>Partially Implemented</x:v>
      </x:c>
      <x:c r="G50" s="137" t="n">
        <x:v>0.8</x:v>
      </x:c>
      <x:c r="H50" s="136" t="str">
        <x:v>Critical</x:v>
      </x:c>
      <x:c r="I50" s="136" t="str">
        <x:v>Stage 1</x:v>
      </x:c>
      <x:c r="J50" s="136" t="str">
        <x:v>Unassigned</x:v>
      </x:c>
      <x:c r="K50" s="136" t="str">
        <x:v>Deployment origin config</x:v>
      </x:c>
      <x:c r="L50" s="136" t="str">
        <x:v>All state-changing actions reject cross-origin requests and use appropriate cookie policy.</x:v>
      </x:c>
      <x:c r="M50" s="136" t="str">
        <x:v>Cross-origin forms; origin/host mismatch</x:v>
      </x:c>
      <x:c r="N50" s="136" t="str">
        <x:v>Upload POST now compares Origin with the incoming Host and rejects mismatches. Authenticated desktop/mobile Chromium test confirms foreign-origin 403 while valid uploads still succeed. Next server actions keep their built-in origin/session protections.</x:v>
      </x:c>
      <x:c r="O50" s="136" t="str">
        <x:v>Review remaining state-changing routes and proxy host configuration in staging; complete final cross-origin assessment.</x:v>
      </x:c>
    </x:row>
    <x:row r="51">
      <x:c r="A51" s="135" t="str">
        <x:v>JW-047</x:v>
      </x:c>
      <x:c r="B51" s="135" t="str">
        <x:v>Authentication</x:v>
      </x:c>
      <x:c r="C51" s="135" t="str">
        <x:v>Account ban enforcement</x:v>
      </x:c>
      <x:c r="D51" s="136" t="str">
        <x:v>Blocked users cannot authenticate or retain usable sessions</x:v>
      </x:c>
      <x:c r="E51" s="136" t="str">
        <x:v>Signed V1</x:v>
      </x:c>
      <x:c r="F51" s="136" t="str">
        <x:v>Completed</x:v>
      </x:c>
      <x:c r="G51" s="137" t="n">
        <x:v>1</x:v>
      </x:c>
      <x:c r="H51" s="136" t="str">
        <x:v>High</x:v>
      </x:c>
      <x:c r="I51" s="136" t="str">
        <x:v>Stage 4</x:v>
      </x:c>
      <x:c r="J51" s="136" t="str">
        <x:v>Unassigned</x:v>
      </x:c>
      <x:c r="K51" s="136" t="str">
        <x:v>Admin ban control</x:v>
      </x:c>
      <x:c r="L51" s="136" t="str">
        <x:v>Banned users cannot login; existing sessions stop resolving.</x:v>
      </x:c>
      <x:c r="M51" s="136" t="str">
        <x:v>Login and active-session ban cases</x:v>
      </x:c>
      <x:c r="N51" s="136" t="str">
        <x:v>Banned login is denied; desktop/mobile browser tests confirm admin ban revokes active sessions, unban appends an audit record and restored user can sign in. Admin ban/unban UI is implemented.</x:v>
      </x:c>
      <x:c r="O51" s="136" t="str">
        <x:v>Retain provider-independent browser regression; final live acceptance remains open.</x:v>
      </x:c>
    </x:row>
    <x:row r="52">
      <x:c r="A52" s="135" t="str">
        <x:v>JW-048</x:v>
      </x:c>
      <x:c r="B52" s="135" t="str">
        <x:v>Authentication</x:v>
      </x:c>
      <x:c r="C52" s="135" t="str">
        <x:v>Admin authorization</x:v>
      </x:c>
      <x:c r="D52" s="136" t="str">
        <x:v>Protect moderation routes using is_admin</x:v>
      </x:c>
      <x:c r="E52" s="136" t="str">
        <x:v>Signed V1</x:v>
      </x:c>
      <x:c r="F52" s="136" t="str">
        <x:v>Completed</x:v>
      </x:c>
      <x:c r="G52" s="137" t="n">
        <x:v>1</x:v>
      </x:c>
      <x:c r="H52" s="136" t="str">
        <x:v>Critical</x:v>
      </x:c>
      <x:c r="I52" s="136" t="str">
        <x:v>Stage 4</x:v>
      </x:c>
      <x:c r="J52" s="136" t="str">
        <x:v>Unassigned</x:v>
      </x:c>
      <x:c r="K52" s="136" t="str">
        <x:v>Admin account</x:v>
      </x:c>
      <x:c r="L52" s="136" t="str">
        <x:v>Non-admin users cannot access or invoke moderation actions.</x:v>
      </x:c>
      <x:c r="M52" s="136" t="str">
        <x:v>Anonymous; normal user; admin; direct action call</x:v>
      </x:c>
      <x:c r="N52" s="136" t="str">
        <x:v>Administrator routes/actions check role. Direct hide/remove/ban HTTP replay rejects seller and anonymous actors without DB/audit changes; identical administrator payload succeeds. CI run 37 passed.</x:v>
      </x:c>
      <x:c r="O52" s="136" t="str">
        <x:v>Extend dealer/service direct-action authorization under JW-166; retain existing administrator regressions.</x:v>
      </x:c>
    </x:row>
    <x:row r="53">
      <x:c r="A53" s="135" t="str">
        <x:v>JW-049</x:v>
      </x:c>
      <x:c r="B53" s="135" t="str">
        <x:v>Authentication</x:v>
      </x:c>
      <x:c r="C53" s="135" t="str">
        <x:v>Production administrator bootstrap</x:v>
      </x:c>
      <x:c r="D53" s="136" t="str">
        <x:v>Securely create the first admin without public seed credentials</x:v>
      </x:c>
      <x:c r="E53" s="136" t="str">
        <x:v>Signed V1</x:v>
      </x:c>
      <x:c r="F53" s="136" t="str">
        <x:v>Launch Configuration Pending</x:v>
      </x:c>
      <x:c r="G53" s="137" t="n">
        <x:v>0.7</x:v>
      </x:c>
      <x:c r="H53" s="136" t="str">
        <x:v>Critical</x:v>
      </x:c>
      <x:c r="I53" s="136" t="str">
        <x:v>Stage 6</x:v>
      </x:c>
      <x:c r="J53" s="136" t="str">
        <x:v>Backend</x:v>
      </x:c>
      <x:c r="K53" s="136" t="str">
        <x:v>Production DB access</x:v>
      </x:c>
      <x:c r="L53" s="136" t="str">
        <x:v>Named administrator is created through a documented auditable process and no default password is committed.</x:v>
      </x:c>
      <x:c r="M53" s="136" t="str">
        <x:v>Access test; audit review</x:v>
      </x:c>
      <x:c r="N53" s="136" t="str">
        <x:v>Local administrator access exists. No dedicated bootstrap command or complete audited production-bootstrap runbook was found; production administrator creation remains open.</x:v>
      </x:c>
      <x:c r="O53" s="136" t="str">
        <x:v>Implement/document audited first-admin provisioning, then execute only against the chosen production environment.</x:v>
      </x:c>
    </x:row>
    <x:row r="54">
      <x:c r="A54" s="135" t="str">
        <x:v>JW-050</x:v>
      </x:c>
      <x:c r="B54" s="135" t="str">
        <x:v>User Profiles</x:v>
      </x:c>
      <x:c r="C54" s="135" t="str">
        <x:v>Account details display</x:v>
      </x:c>
      <x:c r="D54" s="136" t="str">
        <x:v>Show signed-in identity in account navigation</x:v>
      </x:c>
      <x:c r="E54" s="136" t="str">
        <x:v>Signed V1</x:v>
      </x:c>
      <x:c r="F54" s="136" t="str">
        <x:v>Completed</x:v>
      </x:c>
      <x:c r="G54" s="137" t="n">
        <x:v>1</x:v>
      </x:c>
      <x:c r="H54" s="136" t="str">
        <x:v>Medium</x:v>
      </x:c>
      <x:c r="I54" s="136" t="str">
        <x:v>Stage 2</x:v>
      </x:c>
      <x:c r="J54" s="136" t="str">
        <x:v>Unassigned</x:v>
      </x:c>
      <x:c r="K54" s="136" t="str">
        <x:v>Authentication</x:v>
      </x:c>
      <x:c r="L54" s="136" t="str">
        <x:v>Signed-in name/phone appears without exposing credentials.</x:v>
      </x:c>
      <x:c r="M54" s="136" t="str">
        <x:v>Signed-in/out display; mobile</x:v>
      </x:c>
      <x:c r="N54" s="136" t="str">
        <x:v>AccountMenu is implemented.</x:v>
      </x:c>
      <x:c r="O54" s="136" t="str">
        <x:v>Retest with profile edits later.</x:v>
      </x:c>
    </x:row>
    <x:row r="55">
      <x:c r="A55" s="135" t="str">
        <x:v>JW-051</x:v>
      </x:c>
      <x:c r="B55" s="135" t="str">
        <x:v>User Profiles</x:v>
      </x:c>
      <x:c r="C55" s="135" t="str">
        <x:v>Profile editing</x:v>
      </x:c>
      <x:c r="D55" s="136" t="str">
        <x:v>Edit name, email, phone/contact details and avatar where approved</x:v>
      </x:c>
      <x:c r="E55" s="136" t="str">
        <x:v>Signed V1</x:v>
      </x:c>
      <x:c r="F55" s="136" t="str">
        <x:v>Completed</x:v>
      </x:c>
      <x:c r="G55" s="137" t="n">
        <x:v>1</x:v>
      </x:c>
      <x:c r="H55" s="136" t="str">
        <x:v>High</x:v>
      </x:c>
      <x:c r="I55" s="136" t="str">
        <x:v>Stage 2</x:v>
      </x:c>
      <x:c r="J55" s="136" t="str">
        <x:v>Unassigned</x:v>
      </x:c>
      <x:c r="K55" s="136" t="str">
        <x:v>Profile route and validation</x:v>
      </x:c>
      <x:c r="L55" s="136" t="str">
        <x:v>Owner can update fields; uniqueness and validation are enforced.</x:v>
      </x:c>
      <x:c r="M55" s="136" t="str">
        <x:v>Valid/invalid; duplicates; authorization; image</x:v>
      </x:c>
      <x:c r="N55" s="136" t="str">
        <x:v>Account profile editing and seller-facing profile behavior are implemented in current code.</x:v>
      </x:c>
      <x:c r="O55" s="136" t="str">
        <x:v>Retain in final regression and comprehensive browser QA.</x:v>
      </x:c>
    </x:row>
    <x:row r="56">
      <x:c r="A56" s="135" t="str">
        <x:v>JW-052</x:v>
      </x:c>
      <x:c r="B56" s="135" t="str">
        <x:v>User Profiles</x:v>
      </x:c>
      <x:c r="C56" s="135" t="str">
        <x:v>Seller public profile</x:v>
      </x:c>
      <x:c r="D56" s="136" t="str">
        <x:v>Public seller identity and active listing view</x:v>
      </x:c>
      <x:c r="E56" s="136" t="str">
        <x:v>Signed V1</x:v>
      </x:c>
      <x:c r="F56" s="136" t="str">
        <x:v>Completed</x:v>
      </x:c>
      <x:c r="G56" s="137" t="n">
        <x:v>1</x:v>
      </x:c>
      <x:c r="H56" s="136" t="str">
        <x:v>Medium</x:v>
      </x:c>
      <x:c r="I56" s="136" t="str">
        <x:v>Stage 2</x:v>
      </x:c>
      <x:c r="J56" s="136" t="str">
        <x:v>Unassigned</x:v>
      </x:c>
      <x:c r="K56" s="136" t="str">
        <x:v>Profile data and privacy decision</x:v>
      </x:c>
      <x:c r="L56" s="136" t="str">
        <x:v>Public page exposes only approved contact/profile data and live listings.</x:v>
      </x:c>
      <x:c r="M56" s="136" t="str">
        <x:v>Privacy; inactive listing exclusion; pagination</x:v>
      </x:c>
      <x:c r="N56" s="136" t="str">
        <x:v>Account profile editing and seller-facing profile behavior are implemented in current code.</x:v>
      </x:c>
      <x:c r="O56" s="136" t="str">
        <x:v>Retain in final regression and comprehensive browser QA.</x:v>
      </x:c>
    </x:row>
    <x:row r="57">
      <x:c r="A57" s="135" t="str">
        <x:v>JW-053</x:v>
      </x:c>
      <x:c r="B57" s="135" t="str">
        <x:v>User Profiles</x:v>
      </x:c>
      <x:c r="C57" s="135" t="str">
        <x:v>Manual seller verification</x:v>
      </x:c>
      <x:c r="D57" s="136" t="str">
        <x:v>Admin-controlled verified seller status and badge</x:v>
      </x:c>
      <x:c r="E57" s="136" t="str">
        <x:v>Signed V1</x:v>
      </x:c>
      <x:c r="F57" s="136" t="str">
        <x:v>Pending</x:v>
      </x:c>
      <x:c r="G57" s="137" t="n">
        <x:v>0</x:v>
      </x:c>
      <x:c r="H57" s="136" t="str">
        <x:v>High</x:v>
      </x:c>
      <x:c r="I57" s="136" t="str">
        <x:v>Stage 4</x:v>
      </x:c>
      <x:c r="J57" s="136" t="str">
        <x:v>Unassigned</x:v>
      </x:c>
      <x:c r="K57" s="136" t="str">
        <x:v>Verification fields and admin UI</x:v>
      </x:c>
      <x:c r="L57" s="136" t="str">
        <x:v>Only authorized admins grant/revoke verification and actions are logged.</x:v>
      </x:c>
      <x:c r="M57" s="136" t="str">
        <x:v>Grant/revoke; badge accuracy; audit log</x:v>
      </x:c>
      <x:c r="N57" s="136" t="str">
        <x:v>Phone verification timestamp exists but no seller verification workflow/UI.</x:v>
      </x:c>
      <x:c r="O57" s="136" t="str">
        <x:v>Clarify badge field and implement admin controls.</x:v>
      </x:c>
    </x:row>
    <x:row r="58">
      <x:c r="A58" s="135" t="str">
        <x:v>JW-054</x:v>
      </x:c>
      <x:c r="B58" s="135" t="str">
        <x:v>User Profiles</x:v>
      </x:c>
      <x:c r="C58" s="135" t="str">
        <x:v>Avatar upload</x:v>
      </x:c>
      <x:c r="D58" s="136" t="str">
        <x:v>Secure owner-controlled profile image</x:v>
      </x:c>
      <x:c r="E58" s="136" t="str">
        <x:v>Signed V1</x:v>
      </x:c>
      <x:c r="F58" s="136" t="str">
        <x:v>Completed</x:v>
      </x:c>
      <x:c r="G58" s="137" t="n">
        <x:v>1</x:v>
      </x:c>
      <x:c r="H58" s="136" t="str">
        <x:v>Low</x:v>
      </x:c>
      <x:c r="I58" s="136" t="str">
        <x:v>Stage 2</x:v>
      </x:c>
      <x:c r="J58" s="136" t="str">
        <x:v>Unassigned</x:v>
      </x:c>
      <x:c r="K58" s="136" t="str">
        <x:v>Profile editing and media ownership</x:v>
      </x:c>
      <x:c r="L58" s="136" t="str">
        <x:v>Accepted formats are validated and old assets handled safely.</x:v>
      </x:c>
      <x:c r="M58" s="136" t="str">
        <x:v>Upload types/size; authorization; replacement</x:v>
      </x:c>
      <x:c r="N58" s="136" t="str">
        <x:v>Owner-only avatar upload, replacement and removal are implemented with validated image storage. Fresh desktop/mobile Chromium tests upload twice, confirm distinct stored keys and visible profile images, then remove the photo and verify the account row is cleared. Account image write limit denial is also browser-tested.</x:v>
      </x:c>
      <x:c r="O58" s="136" t="str">
        <x:v>Local behavior is complete; verify Cloudflare media cleanup after the production image provider is configured.</x:v>
      </x:c>
    </x:row>
    <x:row r="59">
      <x:c r="A59" s="135" t="str">
        <x:v>JW-055</x:v>
      </x:c>
      <x:c r="B59" s="135" t="str">
        <x:v>Listing Creation</x:v>
      </x:c>
      <x:c r="C59" s="135" t="str">
        <x:v>Shared listing model</x:v>
      </x:c>
      <x:c r="D59" s="136" t="str">
        <x:v>Cars, bikes and auto parts share core seller, price, city, status and media fields</x:v>
      </x:c>
      <x:c r="E59" s="136" t="str">
        <x:v>Signed V1</x:v>
      </x:c>
      <x:c r="F59" s="136" t="str">
        <x:v>Completed</x:v>
      </x:c>
      <x:c r="G59" s="137" t="n">
        <x:v>1</x:v>
      </x:c>
      <x:c r="H59" s="136" t="str">
        <x:v>Critical</x:v>
      </x:c>
      <x:c r="I59" s="136" t="str">
        <x:v>Stage 2</x:v>
      </x:c>
      <x:c r="J59" s="136" t="str">
        <x:v>Unassigned</x:v>
      </x:c>
      <x:c r="K59" s="136" t="str">
        <x:v>Database</x:v>
      </x:c>
      <x:c r="L59" s="136" t="str">
        <x:v>All verticals can be represented without inconsistent duplicate common fields.</x:v>
      </x:c>
      <x:c r="M59" s="136" t="str">
        <x:v>Schema migration; relational integrity</x:v>
      </x:c>
      <x:c r="N59" s="136" t="str">
        <x:v>Shared listings table and vertical detail tables exist.</x:v>
      </x:c>
      <x:c r="O59" s="136" t="str">
        <x:v>Use same publishing service pattern for bikes and parts.</x:v>
      </x:c>
    </x:row>
    <x:row r="60">
      <x:c r="A60" s="135" t="str">
        <x:v>JW-056</x:v>
      </x:c>
      <x:c r="B60" s="135" t="str">
        <x:v>Listing Creation</x:v>
      </x:c>
      <x:c r="C60" s="135" t="str">
        <x:v>Car listing form</x:v>
      </x:c>
      <x:c r="D60" s="136" t="str">
        <x:v>Make/model/variant, year, mileage, location, price, condition details, features, description and photos</x:v>
      </x:c>
      <x:c r="E60" s="136" t="str">
        <x:v>Signed V1</x:v>
      </x:c>
      <x:c r="F60" s="136" t="str">
        <x:v>Completed</x:v>
      </x:c>
      <x:c r="G60" s="137" t="n">
        <x:v>1</x:v>
      </x:c>
      <x:c r="H60" s="136" t="str">
        <x:v>Critical</x:v>
      </x:c>
      <x:c r="I60" s="136" t="str">
        <x:v>Stage 2</x:v>
      </x:c>
      <x:c r="J60" s="136" t="str">
        <x:v>Unassigned</x:v>
      </x:c>
      <x:c r="K60" s="136" t="str">
        <x:v>Taxonomy and uploads</x:v>
      </x:c>
      <x:c r="L60" s="136" t="str">
        <x:v>Authenticated seller can submit a valid car with required data and one or more images.</x:v>
      </x:c>
      <x:c r="M60" s="136" t="str">
        <x:v>Happy path; all field validations; upload failures; mobile</x:v>
      </x:c>
      <x:c r="N60" s="136" t="str">
        <x:v>Car SellForm and action exist.</x:v>
      </x:c>
      <x:c r="O60" s="136" t="str">
        <x:v>Deep-test and correct publication behavior.</x:v>
      </x:c>
    </x:row>
    <x:row r="61">
      <x:c r="A61" s="135" t="str">
        <x:v>JW-057</x:v>
      </x:c>
      <x:c r="B61" s="135" t="str">
        <x:v>Listing Creation</x:v>
      </x:c>
      <x:c r="C61" s="135" t="str">
        <x:v>Car taxonomy cascade</x:v>
      </x:c>
      <x:c r="D61" s="136" t="str">
        <x:v>Make to model to variant and city to area selectors</x:v>
      </x:c>
      <x:c r="E61" s="136" t="str">
        <x:v>Signed V1</x:v>
      </x:c>
      <x:c r="F61" s="136" t="str">
        <x:v>Completed</x:v>
      </x:c>
      <x:c r="G61" s="137" t="n">
        <x:v>1</x:v>
      </x:c>
      <x:c r="H61" s="136" t="str">
        <x:v>High</x:v>
      </x:c>
      <x:c r="I61" s="136" t="str">
        <x:v>Stage 2</x:v>
      </x:c>
      <x:c r="J61" s="136" t="str">
        <x:v>Unassigned</x:v>
      </x:c>
      <x:c r="K61" s="136" t="str">
        <x:v>Taxonomy API</x:v>
      </x:c>
      <x:c r="L61" s="136" t="str">
        <x:v>Dependent selectors show only active valid children and reset stale choices.</x:v>
      </x:c>
      <x:c r="M61" s="136" t="str">
        <x:v>Cascade; empty states; invalid IDs; cache</x:v>
      </x:c>
      <x:c r="N61" s="136" t="str">
        <x:v>Implemented through /api/taxonomy.</x:v>
      </x:c>
      <x:c r="O61" s="136" t="str">
        <x:v>Add integration/E2E tests.</x:v>
      </x:c>
    </x:row>
    <x:row r="62">
      <x:c r="A62" s="135" t="str">
        <x:v>JW-058</x:v>
      </x:c>
      <x:c r="B62" s="135" t="str">
        <x:v>Listing Creation</x:v>
      </x:c>
      <x:c r="C62" s="135" t="str">
        <x:v>Car server validation</x:v>
      </x:c>
      <x:c r="D62" s="136" t="str">
        <x:v>Validate ranges and curated variant IDs with user-facing messages</x:v>
      </x:c>
      <x:c r="E62" s="136" t="str">
        <x:v>Signed V1</x:v>
      </x:c>
      <x:c r="F62" s="136" t="str">
        <x:v>Completed</x:v>
      </x:c>
      <x:c r="G62" s="137" t="n">
        <x:v>1</x:v>
      </x:c>
      <x:c r="H62" s="136" t="str">
        <x:v>Critical</x:v>
      </x:c>
      <x:c r="I62" s="136" t="str">
        <x:v>Stage 2</x:v>
      </x:c>
      <x:c r="J62" s="136" t="str">
        <x:v>Unassigned</x:v>
      </x:c>
      <x:c r="K62" s="136" t="str">
        <x:v>Car form</x:v>
      </x:c>
      <x:c r="L62" s="136" t="str">
        <x:v>Server rejects manipulated/out-of-range input and displays field-specific messages.</x:v>
      </x:c>
      <x:c r="M62" s="136" t="str">
        <x:v>Boundary and tampered form tests</x:v>
      </x:c>
      <x:c r="N62" s="136" t="str">
        <x:v>Zod carListingSchema exists.</x:v>
      </x:c>
      <x:c r="O62" s="136" t="str">
        <x:v>Add test suite and reconcile exact proposal fields.</x:v>
      </x:c>
    </x:row>
    <x:row r="63">
      <x:c r="A63" s="135" t="str">
        <x:v>JW-059</x:v>
      </x:c>
      <x:c r="B63" s="135" t="str">
        <x:v>Listing Creation</x:v>
      </x:c>
      <x:c r="C63" s="135" t="str">
        <x:v>Car registration details</x:v>
      </x:c>
      <x:c r="D63" s="136" t="str">
        <x:v>Registration city, unregistered state, color, ownership and token fields</x:v>
      </x:c>
      <x:c r="E63" s="136" t="str">
        <x:v>Signed V1</x:v>
      </x:c>
      <x:c r="F63" s="136" t="str">
        <x:v>Completed</x:v>
      </x:c>
      <x:c r="G63" s="137" t="n">
        <x:v>1</x:v>
      </x:c>
      <x:c r="H63" s="136" t="str">
        <x:v>Medium</x:v>
      </x:c>
      <x:c r="I63" s="136" t="str">
        <x:v>Stage 2</x:v>
      </x:c>
      <x:c r="J63" s="136" t="str">
        <x:v>Unassigned</x:v>
      </x:c>
      <x:c r="K63" s="136" t="str">
        <x:v>Car form/schema</x:v>
      </x:c>
      <x:c r="L63" s="136" t="str">
        <x:v>Every agreed car field is captured consistently and conditional fields behave correctly.</x:v>
      </x:c>
      <x:c r="M63" s="136" t="str">
        <x:v>Registered/unregistered; auction sheet; token year</x:v>
      </x:c>
      <x:c r="N63" s="136" t="str">
        <x:v>Car create/edit forms expose registered city, last token paid year and auction grade conditionally. Server rejects conflicting unregistered/auction values. Desktop and mobile browser publication confirmed these fields in isolated PostgreSQL.</x:v>
      </x:c>
      <x:c r="O63" s="136" t="str">
        <x:v>Final owner review can be included in launch acceptance; no further implementation dependency.</x:v>
      </x:c>
    </x:row>
    <x:row r="64">
      <x:c r="A64" s="135" t="str">
        <x:v>JW-060</x:v>
      </x:c>
      <x:c r="B64" s="135" t="str">
        <x:v>Listing Creation</x:v>
      </x:c>
      <x:c r="C64" s="135" t="str">
        <x:v>Bike listing form</x:v>
      </x:c>
      <x:c r="D64" s="136" t="str">
        <x:v>Make/model/year, engine, mileage, city, condition, description and photos</x:v>
      </x:c>
      <x:c r="E64" s="136" t="str">
        <x:v>Signed V1</x:v>
      </x:c>
      <x:c r="F64" s="136" t="str">
        <x:v>Completed</x:v>
      </x:c>
      <x:c r="G64" s="137" t="n">
        <x:v>1</x:v>
      </x:c>
      <x:c r="H64" s="136" t="str">
        <x:v>Critical</x:v>
      </x:c>
      <x:c r="I64" s="136" t="str">
        <x:v>Stage 2</x:v>
      </x:c>
      <x:c r="J64" s="136" t="str">
        <x:v>Unassigned</x:v>
      </x:c>
      <x:c r="K64" s="136" t="str">
        <x:v>Bike publishing/validation</x:v>
      </x:c>
      <x:c r="L64" s="136" t="str">
        <x:v>Authenticated seller can create a bike listing with all signed-scope fields.</x:v>
      </x:c>
      <x:c r="M64" s="136" t="str">
        <x:v>Happy path; validation; ownership; images; mobile</x:v>
      </x:c>
      <x:c r="N64" s="136" t="str">
        <x:v>Cars, bikes and parts publishing flows are implemented with instant publication, seller limits and synchronized facets.</x:v>
      </x:c>
      <x:c r="O64" s="136" t="str">
        <x:v>Retain in final regression and comprehensive browser QA.</x:v>
      </x:c>
    </x:row>
    <x:row r="65">
      <x:c r="A65" s="135" t="str">
        <x:v>JW-061</x:v>
      </x:c>
      <x:c r="B65" s="135" t="str">
        <x:v>Listing Creation</x:v>
      </x:c>
      <x:c r="C65" s="135" t="str">
        <x:v>Auto-parts listing form</x:v>
      </x:c>
      <x:c r="D65" s="136" t="str">
        <x:v>Title, category, compatibility, condition, price, location, description, photos and seller data</x:v>
      </x:c>
      <x:c r="E65" s="136" t="str">
        <x:v>Signed V1</x:v>
      </x:c>
      <x:c r="F65" s="136" t="str">
        <x:v>Completed</x:v>
      </x:c>
      <x:c r="G65" s="137" t="n">
        <x:v>1</x:v>
      </x:c>
      <x:c r="H65" s="136" t="str">
        <x:v>Critical</x:v>
      </x:c>
      <x:c r="I65" s="136" t="str">
        <x:v>Stage 2</x:v>
      </x:c>
      <x:c r="J65" s="136" t="str">
        <x:v>Unassigned</x:v>
      </x:c>
      <x:c r="K65" s="136" t="str">
        <x:v>Parts publishing/validation</x:v>
      </x:c>
      <x:c r="L65" s="136" t="str">
        <x:v>Authenticated seller can create a parts classified ad without cart/checkout concepts.</x:v>
      </x:c>
      <x:c r="M65" s="136" t="str">
        <x:v>Category/compatibility; validation; images; mobile</x:v>
      </x:c>
      <x:c r="N65" s="136" t="str">
        <x:v>Cars, bikes and parts publishing flows are implemented with instant publication, seller limits and synchronized facets.</x:v>
      </x:c>
      <x:c r="O65" s="136" t="str">
        <x:v>Retain in final regression and comprehensive browser QA.</x:v>
      </x:c>
    </x:row>
    <x:row r="66">
      <x:c r="A66" s="135" t="str">
        <x:v>JW-062</x:v>
      </x:c>
      <x:c r="B66" s="135" t="str">
        <x:v>Listing Creation</x:v>
      </x:c>
      <x:c r="C66" s="135" t="str">
        <x:v>Instant publication after validation</x:v>
      </x:c>
      <x:c r="D66" s="136" t="str">
        <x:v>Ordinary valid listings become Live without routine pre-approval</x:v>
      </x:c>
      <x:c r="E66" s="136" t="str">
        <x:v>Signed V1</x:v>
      </x:c>
      <x:c r="F66" s="136" t="str">
        <x:v>Completed</x:v>
      </x:c>
      <x:c r="G66" s="137" t="n">
        <x:v>1</x:v>
      </x:c>
      <x:c r="H66" s="136" t="str">
        <x:v>Critical</x:v>
      </x:c>
      <x:c r="I66" s="136" t="str">
        <x:v>Stage 1</x:v>
      </x:c>
      <x:c r="J66" s="136" t="str">
        <x:v>Unassigned</x:v>
      </x:c>
      <x:c r="K66" s="136" t="str">
        <x:v>Publishing service</x:v>
      </x:c>
      <x:c r="L66" s="136" t="str">
        <x:v>Valid seller/dealer listing is active immediately; reporting and post-publication moderation remain available.</x:v>
      </x:c>
      <x:c r="M66" s="136" t="str">
        <x:v>Individual; unverified dealer; verified dealer; invalid data</x:v>
      </x:c>
      <x:c r="N66" s="136" t="str">
        <x:v>Cars, bikes and parts publishing flows are implemented with instant publication, seller limits and synchronized facets.</x:v>
      </x:c>
      <x:c r="O66" s="136" t="str">
        <x:v>Retain in final regression and comprehensive browser QA.</x:v>
      </x:c>
    </x:row>
    <x:row r="67">
      <x:c r="A67" s="135" t="str">
        <x:v>JW-063</x:v>
      </x:c>
      <x:c r="B67" s="135" t="str">
        <x:v>Listing Creation</x:v>
      </x:c>
      <x:c r="C67" s="135" t="str">
        <x:v>Dealer linkage</x:v>
      </x:c>
      <x:c r="D67" s="136" t="str">
        <x:v>Associate a dealer user's listing with the dealer profile</x:v>
      </x:c>
      <x:c r="E67" s="136" t="str">
        <x:v>Signed V1</x:v>
      </x:c>
      <x:c r="F67" s="136" t="str">
        <x:v>Completed</x:v>
      </x:c>
      <x:c r="G67" s="137" t="n">
        <x:v>1</x:v>
      </x:c>
      <x:c r="H67" s="136" t="str">
        <x:v>High</x:v>
      </x:c>
      <x:c r="I67" s="136" t="str">
        <x:v>Stage 2</x:v>
      </x:c>
      <x:c r="J67" s="136" t="str">
        <x:v>Unassigned</x:v>
      </x:c>
      <x:c r="K67" s="136" t="str">
        <x:v>Dealer registration</x:v>
      </x:c>
      <x:c r="L67" s="136" t="str">
        <x:v>Dealer-created ads carry the correct dealerId and storefront relation.</x:v>
      </x:c>
      <x:c r="M67" s="136" t="str">
        <x:v>Dealer vs individual creation; spoofed dealer ID</x:v>
      </x:c>
      <x:c r="N67" s="136" t="str">
        <x:v>Server resolves dealer by authenticated user.</x:v>
      </x:c>
      <x:c r="O67" s="136" t="str">
        <x:v>Retest for bike/parts creation.</x:v>
      </x:c>
    </x:row>
    <x:row r="68">
      <x:c r="A68" s="135" t="str">
        <x:v>JW-064</x:v>
      </x:c>
      <x:c r="B68" s="135" t="str">
        <x:v>Listing Creation</x:v>
      </x:c>
      <x:c r="C68" s="135" t="str">
        <x:v>Private seller active-ad limit</x:v>
      </x:c>
      <x:c r="D68" s="136" t="str">
        <x:v>Maximum three active/pending ads for non-dealers</x:v>
      </x:c>
      <x:c r="E68" s="136" t="str">
        <x:v>Signed V1</x:v>
      </x:c>
      <x:c r="F68" s="136" t="str">
        <x:v>Completed</x:v>
      </x:c>
      <x:c r="G68" s="137" t="n">
        <x:v>1</x:v>
      </x:c>
      <x:c r="H68" s="136" t="str">
        <x:v>Medium</x:v>
      </x:c>
      <x:c r="I68" s="136" t="str">
        <x:v>Stage 2</x:v>
      </x:c>
      <x:c r="J68" s="136" t="str">
        <x:v>Unassigned</x:v>
      </x:c>
      <x:c r="K68" s="136" t="str">
        <x:v>Publishing status correction</x:v>
      </x:c>
      <x:c r="L68" s="136" t="str">
        <x:v>Limit counts only applicable live states and cannot be bypassed concurrently.</x:v>
      </x:c>
      <x:c r="M68" s="136" t="str">
        <x:v>Boundary 2/3/4; concurrent submits; sold/expired</x:v>
      </x:c>
      <x:c r="N68" s="136" t="str">
        <x:v>Cars, bikes and parts publishing flows are implemented with instant publication, seller limits and synchronized facets.</x:v>
      </x:c>
      <x:c r="O68" s="136" t="str">
        <x:v>Retain in final regression and comprehensive browser QA.</x:v>
      </x:c>
    </x:row>
    <x:row r="69">
      <x:c r="A69" s="135" t="str">
        <x:v>JW-065</x:v>
      </x:c>
      <x:c r="B69" s="135" t="str">
        <x:v>Listing Creation</x:v>
      </x:c>
      <x:c r="C69" s="135" t="str">
        <x:v>Description sanitization</x:v>
      </x:c>
      <x:c r="D69" s="136" t="str">
        <x:v>Strip phone numbers, emails and URLs from listing descriptions</x:v>
      </x:c>
      <x:c r="E69" s="136" t="str">
        <x:v>Signed V1</x:v>
      </x:c>
      <x:c r="F69" s="136" t="str">
        <x:v>Completed</x:v>
      </x:c>
      <x:c r="G69" s="137" t="n">
        <x:v>1</x:v>
      </x:c>
      <x:c r="H69" s="136" t="str">
        <x:v>High</x:v>
      </x:c>
      <x:c r="I69" s="136" t="str">
        <x:v>Stage 2</x:v>
      </x:c>
      <x:c r="J69" s="136" t="str">
        <x:v>Unassigned</x:v>
      </x:c>
      <x:c r="K69" s="136" t="str">
        <x:v>Validation</x:v>
      </x:c>
      <x:c r="L69" s="136" t="str">
        <x:v>Common contact patterns are removed without destroying normal text.</x:v>
      </x:c>
      <x:c r="M69" s="136" t="str">
        <x:v>Phone/email/URL variants; false positives; Unicode</x:v>
      </x:c>
      <x:c r="N69" s="136" t="str">
        <x:v>sanitizeDescription is used for cars.</x:v>
      </x:c>
      <x:c r="O69" s="136" t="str">
        <x:v>Apply uniformly to bikes, parts and edits; expand tests.</x:v>
      </x:c>
    </x:row>
    <x:row r="70">
      <x:c r="A70" s="135" t="str">
        <x:v>JW-066</x:v>
      </x:c>
      <x:c r="B70" s="135" t="str">
        <x:v>Listing Creation</x:v>
      </x:c>
      <x:c r="C70" s="135" t="str">
        <x:v>Transactional publishing</x:v>
      </x:c>
      <x:c r="D70" s="136" t="str">
        <x:v>Insert listing, vertical details, images and features atomically</x:v>
      </x:c>
      <x:c r="E70" s="136" t="str">
        <x:v>Signed V1</x:v>
      </x:c>
      <x:c r="F70" s="136" t="str">
        <x:v>Completed</x:v>
      </x:c>
      <x:c r="G70" s="137" t="n">
        <x:v>1</x:v>
      </x:c>
      <x:c r="H70" s="136" t="str">
        <x:v>Critical</x:v>
      </x:c>
      <x:c r="I70" s="136" t="str">
        <x:v>Stage 2</x:v>
      </x:c>
      <x:c r="J70" s="136" t="str">
        <x:v>Unassigned</x:v>
      </x:c>
      <x:c r="K70" s="136" t="str">
        <x:v>Database transactions</x:v>
      </x:c>
      <x:c r="L70" s="136" t="str">
        <x:v>Any failure rolls back the entire listing.</x:v>
      </x:c>
      <x:c r="M70" s="136" t="str">
        <x:v>Injected failure at each insert; rollback verification</x:v>
      </x:c>
      <x:c r="N70" s="136" t="str">
        <x:v>Car publish uses one transaction.</x:v>
      </x:c>
      <x:c r="O70" s="136" t="str">
        <x:v>Reuse for bike and parts publishing.</x:v>
      </x:c>
    </x:row>
    <x:row r="71">
      <x:c r="A71" s="135" t="str">
        <x:v>JW-067</x:v>
      </x:c>
      <x:c r="B71" s="135" t="str">
        <x:v>Listing Creation</x:v>
      </x:c>
      <x:c r="C71" s="135" t="str">
        <x:v>Denormalized facet synchronization</x:v>
      </x:c>
      <x:c r="D71" s="136" t="str">
        <x:v>Keep make/model/variant-derived search columns consistent</x:v>
      </x:c>
      <x:c r="E71" s="136" t="str">
        <x:v>Signed V1</x:v>
      </x:c>
      <x:c r="F71" s="136" t="str">
        <x:v>Completed</x:v>
      </x:c>
      <x:c r="G71" s="137" t="n">
        <x:v>1</x:v>
      </x:c>
      <x:c r="H71" s="136" t="str">
        <x:v>Critical</x:v>
      </x:c>
      <x:c r="I71" s="136" t="str">
        <x:v>Stage 2</x:v>
      </x:c>
      <x:c r="J71" s="136" t="str">
        <x:v>Unassigned</x:v>
      </x:c>
      <x:c r="K71" s="136" t="str">
        <x:v>Edit workflow</x:v>
      </x:c>
      <x:c r="L71" s="136" t="str">
        <x:v>Create and edit paths derive facets only from curated taxonomy and never drift.</x:v>
      </x:c>
      <x:c r="M71" s="136" t="str">
        <x:v>Create; variant edit; invalid taxonomy; resync</x:v>
      </x:c>
      <x:c r="N71" s="136" t="str">
        <x:v>Cars, bikes and parts publishing flows are implemented with instant publication, seller limits and synchronized facets.</x:v>
      </x:c>
      <x:c r="O71" s="136" t="str">
        <x:v>Retain in final regression and comprehensive browser QA.</x:v>
      </x:c>
    </x:row>
    <x:row r="72">
      <x:c r="A72" s="135" t="str">
        <x:v>JW-068</x:v>
      </x:c>
      <x:c r="B72" s="135" t="str">
        <x:v>Listing Management</x:v>
      </x:c>
      <x:c r="C72" s="135" t="str">
        <x:v>Seller dashboard</x:v>
      </x:c>
      <x:c r="D72" s="136" t="str">
        <x:v>List seller ads with status, price, city, views and phone reveals</x:v>
      </x:c>
      <x:c r="E72" s="136" t="str">
        <x:v>Signed V1</x:v>
      </x:c>
      <x:c r="F72" s="136" t="str">
        <x:v>Completed</x:v>
      </x:c>
      <x:c r="G72" s="137" t="n">
        <x:v>1</x:v>
      </x:c>
      <x:c r="H72" s="136" t="str">
        <x:v>High</x:v>
      </x:c>
      <x:c r="I72" s="136" t="str">
        <x:v>Stage 2</x:v>
      </x:c>
      <x:c r="J72" s="136" t="str">
        <x:v>Unassigned</x:v>
      </x:c>
      <x:c r="K72" s="136" t="str">
        <x:v>Authentication and listings</x:v>
      </x:c>
      <x:c r="L72" s="136" t="str">
        <x:v>Only the owner sees their listings and accurate aggregate counts.</x:v>
      </x:c>
      <x:c r="M72" s="136" t="str">
        <x:v>Ownership; empty state; all statuses; pagination volume</x:v>
      </x:c>
      <x:c r="N72" s="136" t="str">
        <x:v>Dashboard is operational.</x:v>
      </x:c>
      <x:c r="O72" s="136" t="str">
        <x:v>Add pagination and automated tests if volume requires.</x:v>
      </x:c>
    </x:row>
    <x:row r="73">
      <x:c r="A73" s="135" t="str">
        <x:v>JW-069</x:v>
      </x:c>
      <x:c r="B73" s="135" t="str">
        <x:v>Listing Management</x:v>
      </x:c>
      <x:c r="C73" s="135" t="str">
        <x:v>Mark as sold</x:v>
      </x:c>
      <x:c r="D73" s="136" t="str">
        <x:v>Owner changes an active listing to sold</x:v>
      </x:c>
      <x:c r="E73" s="136" t="str">
        <x:v>Signed V1</x:v>
      </x:c>
      <x:c r="F73" s="136" t="str">
        <x:v>Completed</x:v>
      </x:c>
      <x:c r="G73" s="137" t="n">
        <x:v>1</x:v>
      </x:c>
      <x:c r="H73" s="136" t="str">
        <x:v>High</x:v>
      </x:c>
      <x:c r="I73" s="136" t="str">
        <x:v>Stage 2</x:v>
      </x:c>
      <x:c r="J73" s="136" t="str">
        <x:v>Unassigned</x:v>
      </x:c>
      <x:c r="K73" s="136" t="str">
        <x:v>Seller dashboard</x:v>
      </x:c>
      <x:c r="L73" s="136" t="str">
        <x:v>Only owner can mark sold and listing disappears from active search/contact.</x:v>
      </x:c>
      <x:c r="M73" s="136" t="str">
        <x:v>Owner/non-owner; repeated action; search exclusion</x:v>
      </x:c>
      <x:c r="N73" s="136" t="str">
        <x:v>markSoldAction checks ownership.</x:v>
      </x:c>
      <x:c r="O73" s="136" t="str">
        <x:v>Add confirmation/E2E and audit timestamps.</x:v>
      </x:c>
    </x:row>
    <x:row r="74">
      <x:c r="A74" s="135" t="str">
        <x:v>JW-070</x:v>
      </x:c>
      <x:c r="B74" s="135" t="str">
        <x:v>Listing Management</x:v>
      </x:c>
      <x:c r="C74" s="135" t="str">
        <x:v>Create draft</x:v>
      </x:c>
      <x:c r="D74" s="136" t="str">
        <x:v>Save incomplete listing privately and continue later</x:v>
      </x:c>
      <x:c r="E74" s="136" t="str">
        <x:v>Signed V1</x:v>
      </x:c>
      <x:c r="F74" s="136" t="str">
        <x:v>Completed</x:v>
      </x:c>
      <x:c r="G74" s="137" t="n">
        <x:v>1</x:v>
      </x:c>
      <x:c r="H74" s="136" t="str">
        <x:v>Low</x:v>
      </x:c>
      <x:c r="I74" s="136" t="str">
        <x:v>Stage 2</x:v>
      </x:c>
      <x:c r="J74" s="136" t="str">
        <x:v>Unassigned</x:v>
      </x:c>
      <x:c r="K74" s="136" t="str">
        <x:v>Draft product decision</x:v>
      </x:c>
      <x:c r="L74" s="136" t="str">
        <x:v>Draft is private, editable and never indexed/contactable.</x:v>
      </x:c>
      <x:c r="M74" s="136" t="str">
        <x:v>Create/resume/delete draft; authorization</x:v>
      </x:c>
      <x:c r="N74" s="136" t="str">
        <x:v>Owner listing CRUD, image management, lifecycle controls and inactive-listing privacy are implemented.</x:v>
      </x:c>
      <x:c r="O74" s="136" t="str">
        <x:v>Retain in final regression and comprehensive browser QA.</x:v>
      </x:c>
    </x:row>
    <x:row r="75">
      <x:c r="A75" s="135" t="str">
        <x:v>JW-071</x:v>
      </x:c>
      <x:c r="B75" s="135" t="str">
        <x:v>Listing Management</x:v>
      </x:c>
      <x:c r="C75" s="135" t="str">
        <x:v>Edit listing</x:v>
      </x:c>
      <x:c r="D75" s="136" t="str">
        <x:v>Owner edits all applicable listing fields</x:v>
      </x:c>
      <x:c r="E75" s="136" t="str">
        <x:v>Signed V1</x:v>
      </x:c>
      <x:c r="F75" s="136" t="str">
        <x:v>Completed</x:v>
      </x:c>
      <x:c r="G75" s="137" t="n">
        <x:v>1</x:v>
      </x:c>
      <x:c r="H75" s="136" t="str">
        <x:v>Critical</x:v>
      </x:c>
      <x:c r="I75" s="136" t="str">
        <x:v>Stage 2</x:v>
      </x:c>
      <x:c r="J75" s="136" t="str">
        <x:v>Unassigned</x:v>
      </x:c>
      <x:c r="K75" s="136" t="str">
        <x:v>Create forms and ownership checks</x:v>
      </x:c>
      <x:c r="L75" s="136" t="str">
        <x:v>Only owner/admin can edit; validation and facets remain correct; changes update timestamp/slug safely.</x:v>
      </x:c>
      <x:c r="M75" s="136" t="str">
        <x:v>Owner/non-owner/admin; each vertical; validation; SEO redirect</x:v>
      </x:c>
      <x:c r="N75" s="136" t="str">
        <x:v>Owner listing CRUD, image management, lifecycle controls and inactive-listing privacy are implemented.</x:v>
      </x:c>
      <x:c r="O75" s="136" t="str">
        <x:v>Retain in final regression and comprehensive browser QA.</x:v>
      </x:c>
    </x:row>
    <x:row r="76">
      <x:c r="A76" s="135" t="str">
        <x:v>JW-072</x:v>
      </x:c>
      <x:c r="B76" s="135" t="str">
        <x:v>Listing Management</x:v>
      </x:c>
      <x:c r="C76" s="135" t="str">
        <x:v>Delete listing</x:v>
      </x:c>
      <x:c r="D76" s="136" t="str">
        <x:v>Owner removes their listing with clear recovery/policy behavior</x:v>
      </x:c>
      <x:c r="E76" s="136" t="str">
        <x:v>Signed V1</x:v>
      </x:c>
      <x:c r="F76" s="136" t="str">
        <x:v>Completed</x:v>
      </x:c>
      <x:c r="G76" s="137" t="n">
        <x:v>1</x:v>
      </x:c>
      <x:c r="H76" s="136" t="str">
        <x:v>Critical</x:v>
      </x:c>
      <x:c r="I76" s="136" t="str">
        <x:v>Stage 2</x:v>
      </x:c>
      <x:c r="J76" s="136" t="str">
        <x:v>Unassigned</x:v>
      </x:c>
      <x:c r="K76" s="136" t="str">
        <x:v>Ownership and media cleanup</x:v>
      </x:c>
      <x:c r="L76" s="136" t="str">
        <x:v>Only owner/admin can delete; search/detail exposure and related records follow approved soft/hard-delete policy.</x:v>
      </x:c>
      <x:c r="M76" s="136" t="str">
        <x:v>Owner/non-owner; related images/reports; repeat delete</x:v>
      </x:c>
      <x:c r="N76" s="136" t="str">
        <x:v>Owner listing CRUD, image management, lifecycle controls and inactive-listing privacy are implemented.</x:v>
      </x:c>
      <x:c r="O76" s="136" t="str">
        <x:v>Retain in final regression and comprehensive browser QA.</x:v>
      </x:c>
    </x:row>
    <x:row r="77">
      <x:c r="A77" s="135" t="str">
        <x:v>JW-073</x:v>
      </x:c>
      <x:c r="B77" s="135" t="str">
        <x:v>Listing Management</x:v>
      </x:c>
      <x:c r="C77" s="135" t="str">
        <x:v>Image management after posting</x:v>
      </x:c>
      <x:c r="D77" s="136" t="str">
        <x:v>Add, remove, reorder and choose primary image</x:v>
      </x:c>
      <x:c r="E77" s="136" t="str">
        <x:v>Signed V1</x:v>
      </x:c>
      <x:c r="F77" s="136" t="str">
        <x:v>Completed</x:v>
      </x:c>
      <x:c r="G77" s="137" t="n">
        <x:v>1</x:v>
      </x:c>
      <x:c r="H77" s="136" t="str">
        <x:v>High</x:v>
      </x:c>
      <x:c r="I77" s="136" t="str">
        <x:v>Stage 2</x:v>
      </x:c>
      <x:c r="J77" s="136" t="str">
        <x:v>Unassigned</x:v>
      </x:c>
      <x:c r="K77" s="136" t="str">
        <x:v>Edit listing and media ownership</x:v>
      </x:c>
      <x:c r="L77" s="136" t="str">
        <x:v>Only owner can mutate media and photoCount/order stay consistent.</x:v>
      </x:c>
      <x:c r="M77" s="136" t="str">
        <x:v>Authorization; max count; reorder; failed deletion</x:v>
      </x:c>
      <x:c r="N77" s="136" t="str">
        <x:v>Owner listing CRUD, image management, lifecycle controls and inactive-listing privacy are implemented.</x:v>
      </x:c>
      <x:c r="O77" s="136" t="str">
        <x:v>Retain in final regression and comprehensive browser QA.</x:v>
      </x:c>
    </x:row>
    <x:row r="78">
      <x:c r="A78" s="135" t="str">
        <x:v>JW-074</x:v>
      </x:c>
      <x:c r="B78" s="135" t="str">
        <x:v>Listing Management</x:v>
      </x:c>
      <x:c r="C78" s="135" t="str">
        <x:v>Listing status lifecycle</x:v>
      </x:c>
      <x:c r="D78" s="136" t="str">
        <x:v>Draft, Live, Flagged, Sold and Removed behavior</x:v>
      </x:c>
      <x:c r="E78" s="136" t="str">
        <x:v>Signed V1</x:v>
      </x:c>
      <x:c r="F78" s="136" t="str">
        <x:v>Completed</x:v>
      </x:c>
      <x:c r="G78" s="137" t="n">
        <x:v>1</x:v>
      </x:c>
      <x:c r="H78" s="136" t="str">
        <x:v>Critical</x:v>
      </x:c>
      <x:c r="I78" s="136" t="str">
        <x:v>Stage 2</x:v>
      </x:c>
      <x:c r="J78" s="136" t="str">
        <x:v>Unassigned</x:v>
      </x:c>
      <x:c r="K78" s="136" t="str">
        <x:v>Publishing and moderation</x:v>
      </x:c>
      <x:c r="L78" s="136" t="str">
        <x:v>Every agreed status has defined transitions, visibility, contactability and audit rules.</x:v>
      </x:c>
      <x:c r="M78" s="136" t="str">
        <x:v>State-transition matrix; illegal transitions; SEO</x:v>
      </x:c>
      <x:c r="N78" s="136" t="str">
        <x:v>Owner listing CRUD, image management, lifecycle controls and inactive-listing privacy are implemented.</x:v>
      </x:c>
      <x:c r="O78" s="136" t="str">
        <x:v>Retain in final regression and comprehensive browser QA.</x:v>
      </x:c>
    </x:row>
    <x:row r="79">
      <x:c r="A79" s="135" t="str">
        <x:v>JW-075</x:v>
      </x:c>
      <x:c r="B79" s="135" t="str">
        <x:v>Listing Management</x:v>
      </x:c>
      <x:c r="C79" s="135" t="str">
        <x:v>Listing expiry</x:v>
      </x:c>
      <x:c r="D79" s="136" t="str">
        <x:v>Automatically expire stale active listings</x:v>
      </x:c>
      <x:c r="E79" s="136" t="str">
        <x:v>Signed V1</x:v>
      </x:c>
      <x:c r="F79" s="136" t="str">
        <x:v>Partially Implemented</x:v>
      </x:c>
      <x:c r="G79" s="137" t="n">
        <x:v>0.95</x:v>
      </x:c>
      <x:c r="H79" s="136" t="str">
        <x:v>High</x:v>
      </x:c>
      <x:c r="I79" s="136" t="str">
        <x:v>Stage 6</x:v>
      </x:c>
      <x:c r="J79" s="136" t="str">
        <x:v>Backend</x:v>
      </x:c>
      <x:c r="K79" s="136" t="str">
        <x:v>External cron scheduler</x:v>
      </x:c>
      <x:c r="L79" s="136" t="str">
        <x:v>Expired listings stop appearing as active and seller can understand/reactivate per policy.</x:v>
      </x:c>
      <x:c r="M79" s="136" t="str">
        <x:v>TTL boundary; cron auth; search/detail behavior</x:v>
      </x:c>
      <x:c r="N79" s="136" t="str">
        <x:v>Expiry/reactivation local acceptance passes in desktop/mobile: unauthenticated cron denied, due active fixture expires, future fixture remains active, foreign/anonymous reactivation denied, owner receives a fresh 30-day window, and active/rejected/removed requests do not extend it.</x:v>
      </x:c>
      <x:c r="O79" s="136" t="str">
        <x:v>Configure and monitor production expiry scheduling; run full live search/contact/SEO lifecycle acceptance.</x:v>
      </x:c>
    </x:row>
    <x:row r="80">
      <x:c r="A80" s="135" t="str">
        <x:v>JW-076</x:v>
      </x:c>
      <x:c r="B80" s="135" t="str">
        <x:v>Listing Management</x:v>
      </x:c>
      <x:c r="C80" s="135" t="str">
        <x:v>Inactive listing privacy</x:v>
      </x:c>
      <x:c r="D80" s="136" t="str">
        <x:v>Prevent public access to drafts, pending, rejected and removed listings</x:v>
      </x:c>
      <x:c r="E80" s="136" t="str">
        <x:v>Signed V1</x:v>
      </x:c>
      <x:c r="F80" s="136" t="str">
        <x:v>Completed</x:v>
      </x:c>
      <x:c r="G80" s="137" t="n">
        <x:v>1</x:v>
      </x:c>
      <x:c r="H80" s="136" t="str">
        <x:v>Critical</x:v>
      </x:c>
      <x:c r="I80" s="136" t="str">
        <x:v>Stage 1</x:v>
      </x:c>
      <x:c r="J80" s="136" t="str">
        <x:v>Unassigned</x:v>
      </x:c>
      <x:c r="K80" s="136" t="str">
        <x:v>Detail-route authorization</x:v>
      </x:c>
      <x:c r="L80" s="136" t="str">
        <x:v>Only active/sold listings allowed by policy are public; private states are accessible only to owner/admin.</x:v>
      </x:c>
      <x:c r="M80" s="136" t="str">
        <x:v>Anonymous direct URL for every status; owner/admin views</x:v>
      </x:c>
      <x:c r="N80" s="136" t="str">
        <x:v>Owner listing CRUD, image management, lifecycle controls and inactive-listing privacy are implemented.</x:v>
      </x:c>
      <x:c r="O80" s="136" t="str">
        <x:v>Retain in final regression and comprehensive browser QA.</x:v>
      </x:c>
    </x:row>
    <x:row r="81">
      <x:c r="A81" s="135" t="str">
        <x:v>JW-077</x:v>
      </x:c>
      <x:c r="B81" s="135" t="str">
        <x:v>Media &amp; Images</x:v>
      </x:c>
      <x:c r="C81" s="135" t="str">
        <x:v>Authenticated upload endpoint</x:v>
      </x:c>
      <x:c r="D81" s="136" t="str">
        <x:v>Only signed-in users may upload images</x:v>
      </x:c>
      <x:c r="E81" s="136" t="str">
        <x:v>Signed V1</x:v>
      </x:c>
      <x:c r="F81" s="136" t="str">
        <x:v>Completed</x:v>
      </x:c>
      <x:c r="G81" s="137" t="n">
        <x:v>1</x:v>
      </x:c>
      <x:c r="H81" s="136" t="str">
        <x:v>Critical</x:v>
      </x:c>
      <x:c r="I81" s="136" t="str">
        <x:v>Stage 1</x:v>
      </x:c>
      <x:c r="J81" s="136" t="str">
        <x:v>Unassigned</x:v>
      </x:c>
      <x:c r="K81" s="136" t="str">
        <x:v>Authentication</x:v>
      </x:c>
      <x:c r="L81" s="136" t="str">
        <x:v>Anonymous uploads receive 401 and authenticated valid uploads succeed.</x:v>
      </x:c>
      <x:c r="M81" s="136" t="str">
        <x:v>Anonymous/auth; large batch; malformed form</x:v>
      </x:c>
      <x:c r="N81" s="136" t="str">
        <x:v>Upload route checks current user.</x:v>
      </x:c>
      <x:c r="O81" s="136" t="str">
        <x:v>Add rate limiting and ownership token binding.</x:v>
      </x:c>
    </x:row>
    <x:row r="82">
      <x:c r="A82" s="135" t="str">
        <x:v>JW-078</x:v>
      </x:c>
      <x:c r="B82" s="135" t="str">
        <x:v>Media &amp; Images</x:v>
      </x:c>
      <x:c r="C82" s="135" t="str">
        <x:v>File type validation</x:v>
      </x:c>
      <x:c r="D82" s="136" t="str">
        <x:v>MIME allowlist and magic-byte sniffing</x:v>
      </x:c>
      <x:c r="E82" s="136" t="str">
        <x:v>Signed V1</x:v>
      </x:c>
      <x:c r="F82" s="136" t="str">
        <x:v>Completed</x:v>
      </x:c>
      <x:c r="G82" s="137" t="n">
        <x:v>1</x:v>
      </x:c>
      <x:c r="H82" s="136" t="str">
        <x:v>Critical</x:v>
      </x:c>
      <x:c r="I82" s="136" t="str">
        <x:v>Stage 1</x:v>
      </x:c>
      <x:c r="J82" s="136" t="str">
        <x:v>Unassigned</x:v>
      </x:c>
      <x:c r="K82" s="136" t="str">
        <x:v>Upload endpoint</x:v>
      </x:c>
      <x:c r="L82" s="136" t="str">
        <x:v>Executable/SVG/polyglot payloads cannot be stored as images.</x:v>
      </x:c>
      <x:c r="M82" s="136" t="str">
        <x:v>Spoofed MIME; SVG; truncated files; valid formats</x:v>
      </x:c>
      <x:c r="N82" s="136" t="str">
        <x:v>JPEG, PNG, WebP, AVIF and HEIC signatures are checked.</x:v>
      </x:c>
      <x:c r="O82" s="136" t="str">
        <x:v>Security-test representative malicious files.</x:v>
      </x:c>
    </x:row>
    <x:row r="83">
      <x:c r="A83" s="135" t="str">
        <x:v>JW-079</x:v>
      </x:c>
      <x:c r="B83" s="135" t="str">
        <x:v>Media &amp; Images</x:v>
      </x:c>
      <x:c r="C83" s="135" t="str">
        <x:v>Upload size/count limits</x:v>
      </x:c>
      <x:c r="D83" s="136" t="str">
        <x:v>10 MB per file and maximum 30 files per request/listing</x:v>
      </x:c>
      <x:c r="E83" s="136" t="str">
        <x:v>Signed V1</x:v>
      </x:c>
      <x:c r="F83" s="136" t="str">
        <x:v>Completed</x:v>
      </x:c>
      <x:c r="G83" s="137" t="n">
        <x:v>1</x:v>
      </x:c>
      <x:c r="H83" s="136" t="str">
        <x:v>High</x:v>
      </x:c>
      <x:c r="I83" s="136" t="str">
        <x:v>Stage 1</x:v>
      </x:c>
      <x:c r="J83" s="136" t="str">
        <x:v>Unassigned</x:v>
      </x:c>
      <x:c r="K83" s="136" t="str">
        <x:v>Upload endpoint</x:v>
      </x:c>
      <x:c r="L83" s="136" t="str">
        <x:v>Limits are enforced server-side and errors are understandable.</x:v>
      </x:c>
      <x:c r="M83" s="136" t="str">
        <x:v>9.9/10/10.1 MB; 29/30/31 files</x:v>
      </x:c>
      <x:c r="N83" s="136" t="str">
        <x:v>API enforces per-file/count/content-length bounds and hourly user file/byte quotas; listing schema rejects excessive/duplicate keys. Browser request-bucket denial passes.</x:v>
      </x:c>
      <x:c r="O83" s="136" t="str">
        <x:v>Complete exact size/count and aggregate byte boundary tests in T-016; retain the implemented aggregate protection.</x:v>
      </x:c>
    </x:row>
    <x:row r="84">
      <x:c r="A84" s="135" t="str">
        <x:v>JW-080</x:v>
      </x:c>
      <x:c r="B84" s="135" t="str">
        <x:v>Media &amp; Images</x:v>
      </x:c>
      <x:c r="C84" s="135" t="str">
        <x:v>Upload ownership binding</x:v>
      </x:c>
      <x:c r="D84" s="136" t="str">
        <x:v>Ensure uploaded keys can only be attached by the uploader</x:v>
      </x:c>
      <x:c r="E84" s="136" t="str">
        <x:v>Signed V1</x:v>
      </x:c>
      <x:c r="F84" s="136" t="str">
        <x:v>Completed</x:v>
      </x:c>
      <x:c r="G84" s="137" t="n">
        <x:v>1</x:v>
      </x:c>
      <x:c r="H84" s="136" t="str">
        <x:v>Critical</x:v>
      </x:c>
      <x:c r="I84" s="136" t="str">
        <x:v>Stage 1</x:v>
      </x:c>
      <x:c r="J84" s="136" t="str">
        <x:v>Unassigned</x:v>
      </x:c>
      <x:c r="K84" s="136" t="str">
        <x:v>Temporary upload record or signed key</x:v>
      </x:c>
      <x:c r="L84" s="136" t="str">
        <x:v>A user cannot attach another user's uploaded image key to their listing.</x:v>
      </x:c>
      <x:c r="M84" s="136" t="str">
        <x:v>Key theft; cross-user attach; expired temp upload</x:v>
      </x:c>
      <x:c r="N84" s="136" t="str">
        <x:v>Real DB transaction tests reject foreign, duplicate and reused keys. Desktop/mobile publish/edit HTTP replay with foreign photo keys is denied without listing/photo changes; valid owner controls succeed on a96704b.</x:v>
      </x:c>
      <x:c r="O84" s="136" t="str">
        <x:v>Retain passing ownership regressions; finish provider-specific private delivery under JW-083.</x:v>
      </x:c>
    </x:row>
    <x:row r="85">
      <x:c r="A85" s="135" t="str">
        <x:v>JW-081</x:v>
      </x:c>
      <x:c r="B85" s="135" t="str">
        <x:v>Media &amp; Images</x:v>
      </x:c>
      <x:c r="C85" s="135" t="str">
        <x:v>Orphan cleanup</x:v>
      </x:c>
      <x:c r="D85" s="136" t="str">
        <x:v>Delete uploads never attached to a listing</x:v>
      </x:c>
      <x:c r="E85" s="136" t="str">
        <x:v>Signed V1</x:v>
      </x:c>
      <x:c r="F85" s="136" t="str">
        <x:v>Partially Implemented</x:v>
      </x:c>
      <x:c r="G85" s="137" t="n">
        <x:v>0.9</x:v>
      </x:c>
      <x:c r="H85" s="136" t="str">
        <x:v>Medium</x:v>
      </x:c>
      <x:c r="I85" s="136" t="str">
        <x:v>Stage 6</x:v>
      </x:c>
      <x:c r="J85" s="136" t="str">
        <x:v>Unassigned</x:v>
      </x:c>
      <x:c r="K85" s="136" t="str">
        <x:v>Upload ownership metadata and cron</x:v>
      </x:c>
      <x:c r="L85" s="136" t="str">
        <x:v>Stale unattached files are purged without deleting active listing media.</x:v>
      </x:c>
      <x:c r="M85" s="136" t="str">
        <x:v>Age boundary; attached/unattached; failed delete</x:v>
      </x:c>
      <x:c r="N85" s="136" t="str">
        <x:v>Protected 24-hour orphan purge now locks unclaimed upload rows, deletes each stored object before its database row, retries failed storage deletions, and preserves claimed listing media. Desktop/mobile Chromium and isolated PostgreSQL acceptance pass.</x:v>
      </x:c>
      <x:c r="O85" s="136" t="str">
        <x:v>Configure and monitor the production cron schedule under JW-197; verify live storage-provider cleanup in staging.</x:v>
      </x:c>
    </x:row>
    <x:row r="86">
      <x:c r="A86" s="135" t="str">
        <x:v>JW-082</x:v>
      </x:c>
      <x:c r="B86" s="135" t="str">
        <x:v>Media &amp; Images</x:v>
      </x:c>
      <x:c r="C86" s="135" t="str">
        <x:v>Local development storage</x:v>
      </x:c>
      <x:c r="D86" s="136" t="str">
        <x:v>Write files under configurable absolute upload directory</x:v>
      </x:c>
      <x:c r="E86" s="136" t="str">
        <x:v>Signed V1</x:v>
      </x:c>
      <x:c r="F86" s="136" t="str">
        <x:v>Completed</x:v>
      </x:c>
      <x:c r="G86" s="137" t="n">
        <x:v>1</x:v>
      </x:c>
      <x:c r="H86" s="136" t="str">
        <x:v>Medium</x:v>
      </x:c>
      <x:c r="I86" s="136" t="str">
        <x:v>Stage 0</x:v>
      </x:c>
      <x:c r="J86" s="136" t="str">
        <x:v>Unassigned</x:v>
      </x:c>
      <x:c r="K86" s="136" t="str">
        <x:v>UPLOAD_DIR</x:v>
      </x:c>
      <x:c r="L86" s="136" t="str">
        <x:v>Uploads remain available when server starts from another working directory.</x:v>
      </x:c>
      <x:c r="M86" s="136" t="str">
        <x:v>Absolute/relative path; restart; broken image sweep</x:v>
      </x:c>
      <x:c r="N86" s="136" t="str">
        <x:v>a96704b stores local media in absolute private .uploads; public/ storage is rejected. Existing development files were moved, legacy JPEG fixture decoding preserved, and local GET/HEAD ownership/status checks pass on desktop/mobile. No-store direct previews bypass the optimizer.</x:v>
      </x:c>
      <x:c r="O86" s="136" t="str">
        <x:v>Keep local provider development-only; follow migration guidance in docs/QUALITY.md.</x:v>
      </x:c>
    </x:row>
    <x:row r="87">
      <x:c r="A87" s="135" t="str">
        <x:v>JW-083</x:v>
      </x:c>
      <x:c r="B87" s="135" t="str">
        <x:v>Media &amp; Images</x:v>
      </x:c>
      <x:c r="C87" s="135" t="str">
        <x:v>Cloudflare Images provider</x:v>
      </x:c>
      <x:c r="D87" s="136" t="str">
        <x:v>Production upload and delivery integration</x:v>
      </x:c>
      <x:c r="E87" s="136" t="str">
        <x:v>Signed V1</x:v>
      </x:c>
      <x:c r="F87" s="136" t="str">
        <x:v>Partially Implemented</x:v>
      </x:c>
      <x:c r="G87" s="137" t="n">
        <x:v>0.65</x:v>
      </x:c>
      <x:c r="H87" s="136" t="str">
        <x:v>Critical</x:v>
      </x:c>
      <x:c r="I87" s="136" t="str">
        <x:v>Stage 6</x:v>
      </x:c>
      <x:c r="J87" s="136" t="str">
        <x:v>Backend</x:v>
      </x:c>
      <x:c r="K87" s="136" t="str">
        <x:v>Cloudflare credentials and delivery hash</x:v>
      </x:c>
      <x:c r="L87" s="136" t="str">
        <x:v>Upload, transformations and display work in staging and production with consistent variables.</x:v>
      </x:c>
      <x:c r="M87" s="136" t="str">
        <x:v>Upload/display/delete; credential failure; variants</x:v>
      </x:c>
      <x:c r="N87" s="136" t="str">
        <x:v>Cloudflare upload/delete adapter and direct delivery URLs exist. a96704b protects local reads only; Cloudflare private/signed delivery is not implemented or verified. Live upload/display/delete and configuration failure acceptance remain open.</x:v>
      </x:c>
      <x:c r="O87" s="136" t="str">
        <x:v>Implement provider-appropriate private delivery before production use; configure staging and verify media lifecycle.</x:v>
      </x:c>
    </x:row>
    <x:row r="88">
      <x:c r="A88" s="135" t="str">
        <x:v>JW-084</x:v>
      </x:c>
      <x:c r="B88" s="135" t="str">
        <x:v>Media &amp; Images</x:v>
      </x:c>
      <x:c r="C88" s="135" t="str">
        <x:v>S3-compatible provider</x:v>
      </x:c>
      <x:c r="D88" s="136" t="str">
        <x:v>R2/S3 storage option advertised in environment documentation</x:v>
      </x:c>
      <x:c r="E88" s="136" t="str">
        <x:v>Excluded / Change Request</x:v>
      </x:c>
      <x:c r="F88" s="136" t="str">
        <x:v>Out of Scope / Removed</x:v>
      </x:c>
      <x:c r="G88" s="137" t="n">
        <x:v>0</x:v>
      </x:c>
      <x:c r="H88" s="136" t="str">
        <x:v>High</x:v>
      </x:c>
      <x:c r="I88" s="136" t="str">
        <x:v>Stage 6</x:v>
      </x:c>
      <x:c r="J88" s="136" t="str">
        <x:v>Unassigned</x:v>
      </x:c>
      <x:c r="K88" s="136" t="str">
        <x:v>Production storage choice</x:v>
      </x:c>
      <x:c r="L88" s="136" t="str">
        <x:v>Either provider is implemented end to end or unused variables/documentation are removed.</x:v>
      </x:c>
      <x:c r="M88" s="136" t="str">
        <x:v>Upload/display/delete; URL generation</x:v>
      </x:c>
      <x:c r="N88" s="136" t="str">
        <x:v>S3/R2 option was removed from the environment template and unsupported providers fail explicitly. This excluded alternative contributes neither numerator nor denominator to overall completion.</x:v>
      </x:c>
      <x:c r="O88" s="136" t="str">
        <x:v>No V1 S3 implementation. Cloudflare provider work remains in JW-083.</x:v>
      </x:c>
    </x:row>
    <x:row r="89">
      <x:c r="A89" s="135" t="str">
        <x:v>JW-085</x:v>
      </x:c>
      <x:c r="B89" s="135" t="str">
        <x:v>Media &amp; Images</x:v>
      </x:c>
      <x:c r="C89" s="135" t="str">
        <x:v>Image optimization</x:v>
      </x:c>
      <x:c r="D89" s="136" t="str">
        <x:v>Responsive delivery in listing cards and detail gallery</x:v>
      </x:c>
      <x:c r="E89" s="136" t="str">
        <x:v>Signed V1</x:v>
      </x:c>
      <x:c r="F89" s="136" t="str">
        <x:v>Partially Implemented</x:v>
      </x:c>
      <x:c r="G89" s="137" t="n">
        <x:v>0.7</x:v>
      </x:c>
      <x:c r="H89" s="136" t="str">
        <x:v>High</x:v>
      </x:c>
      <x:c r="I89" s="136" t="str">
        <x:v>Stage 6</x:v>
      </x:c>
      <x:c r="J89" s="136" t="str">
        <x:v>QA</x:v>
      </x:c>
      <x:c r="K89" s="136" t="str">
        <x:v>Production image provider</x:v>
      </x:c>
      <x:c r="L89" s="136" t="str">
        <x:v>Correct variants load with modern formats, dimensions and acceptable visual quality.</x:v>
      </x:c>
      <x:c r="M89" s="136" t="str">
        <x:v>LCP; mobile bandwidth; broken URLs; alt text</x:v>
      </x:c>
      <x:c r="N89" s="136" t="str">
        <x:v>Uploaded images are re-encoded as WebP. Local media now uses direct unoptimized no-store requests to preserve authorization; static site images retain Next optimization. Cloudflare width delivery exists but production dimensions, bandwidth and visual quality are unverified.</x:v>
      </x:c>
      <x:c r="O89" s="136" t="str">
        <x:v>Verify production image transformations and private delivery together; measure mobile media bandwidth/LCP.</x:v>
      </x:c>
    </x:row>
    <x:row r="90">
      <x:c r="A90" s="135" t="str">
        <x:v>JW-086</x:v>
      </x:c>
      <x:c r="B90" s="135" t="str">
        <x:v>Search &amp; Browse</x:v>
      </x:c>
      <x:c r="C90" s="135" t="str">
        <x:v>Vertical browse routes</x:v>
      </x:c>
      <x:c r="D90" s="136" t="str">
        <x:v>Separate browse and detail handling for cars, bikes and parts</x:v>
      </x:c>
      <x:c r="E90" s="136" t="str">
        <x:v>Signed V1</x:v>
      </x:c>
      <x:c r="F90" s="136" t="str">
        <x:v>Completed</x:v>
      </x:c>
      <x:c r="G90" s="137" t="n">
        <x:v>1</x:v>
      </x:c>
      <x:c r="H90" s="136" t="str">
        <x:v>Critical</x:v>
      </x:c>
      <x:c r="I90" s="136" t="str">
        <x:v>Stage 3</x:v>
      </x:c>
      <x:c r="J90" s="136" t="str">
        <x:v>Unassigned</x:v>
      </x:c>
      <x:c r="K90" s="136" t="str">
        <x:v>Shared vertical router</x:v>
      </x:c>
      <x:c r="L90" s="136" t="str">
        <x:v>All three roots load and unknown segments return 404.</x:v>
      </x:c>
      <x:c r="M90" s="136" t="str">
        <x:v>Root routes; unknown segments; ambiguous numeric slugs</x:v>
      </x:c>
      <x:c r="N90" s="136" t="str">
        <x:v>Shared VerticalPage implementation exists.</x:v>
      </x:c>
      <x:c r="O90" s="136" t="str">
        <x:v>Keep route sweep coverage.</x:v>
      </x:c>
    </x:row>
    <x:row r="91">
      <x:c r="A91" s="135" t="str">
        <x:v>JW-087</x:v>
      </x:c>
      <x:c r="B91" s="135" t="str">
        <x:v>Search &amp; Browse</x:v>
      </x:c>
      <x:c r="C91" s="135" t="str">
        <x:v>Active-listing visibility</x:v>
      </x:c>
      <x:c r="D91" s="136" t="str">
        <x:v>Search returns only active listings</x:v>
      </x:c>
      <x:c r="E91" s="136" t="str">
        <x:v>Signed V1</x:v>
      </x:c>
      <x:c r="F91" s="136" t="str">
        <x:v>Completed</x:v>
      </x:c>
      <x:c r="G91" s="137" t="n">
        <x:v>1</x:v>
      </x:c>
      <x:c r="H91" s="136" t="str">
        <x:v>Critical</x:v>
      </x:c>
      <x:c r="I91" s="136" t="str">
        <x:v>Stage 3</x:v>
      </x:c>
      <x:c r="J91" s="136" t="str">
        <x:v>Unassigned</x:v>
      </x:c>
      <x:c r="K91" s="136" t="str">
        <x:v>Listing status</x:v>
      </x:c>
      <x:c r="L91" s="136" t="str">
        <x:v>No non-active listing appears in results or homepage latest inventory.</x:v>
      </x:c>
      <x:c r="M91" s="136" t="str">
        <x:v>Each status; verticals; dealer storefront</x:v>
      </x:c>
      <x:c r="N91" s="136" t="str">
        <x:v>Search where clause requires active.</x:v>
      </x:c>
      <x:c r="O91" s="136" t="str">
        <x:v>Automate regression tests.</x:v>
      </x:c>
    </x:row>
    <x:row r="92">
      <x:c r="A92" s="135" t="str">
        <x:v>JW-088</x:v>
      </x:c>
      <x:c r="B92" s="135" t="str">
        <x:v>Search &amp; Browse</x:v>
      </x:c>
      <x:c r="C92" s="135" t="str">
        <x:v>Make filter</x:v>
      </x:c>
      <x:c r="D92" s="136" t="str">
        <x:v>Filter cars/bikes by curated make</x:v>
      </x:c>
      <x:c r="E92" s="136" t="str">
        <x:v>Signed V1</x:v>
      </x:c>
      <x:c r="F92" s="136" t="str">
        <x:v>Completed</x:v>
      </x:c>
      <x:c r="G92" s="137" t="n">
        <x:v>1</x:v>
      </x:c>
      <x:c r="H92" s="136" t="str">
        <x:v>High</x:v>
      </x:c>
      <x:c r="I92" s="136" t="str">
        <x:v>Stage 3</x:v>
      </x:c>
      <x:c r="J92" s="136" t="str">
        <x:v>Unassigned</x:v>
      </x:c>
      <x:c r="K92" s="136" t="str">
        <x:v>Taxonomy</x:v>
      </x:c>
      <x:c r="L92" s="136" t="str">
        <x:v>Results contain only selected make and canonical URL resolves.</x:v>
      </x:c>
      <x:c r="M92" s="136" t="str">
        <x:v>Each vertical; no results; invalid slug</x:v>
      </x:c>
      <x:c r="N92" s="136" t="str">
        <x:v>Implemented in facet parsing/search.</x:v>
      </x:c>
      <x:c r="O92" s="136" t="str">
        <x:v>Add UI on browse page.</x:v>
      </x:c>
    </x:row>
    <x:row r="93">
      <x:c r="A93" s="135" t="str">
        <x:v>JW-089</x:v>
      </x:c>
      <x:c r="B93" s="135" t="str">
        <x:v>Search &amp; Browse</x:v>
      </x:c>
      <x:c r="C93" s="135" t="str">
        <x:v>Model filter</x:v>
      </x:c>
      <x:c r="D93" s="136" t="str">
        <x:v>Filter cars/bikes by curated model</x:v>
      </x:c>
      <x:c r="E93" s="136" t="str">
        <x:v>Signed V1</x:v>
      </x:c>
      <x:c r="F93" s="136" t="str">
        <x:v>Completed</x:v>
      </x:c>
      <x:c r="G93" s="137" t="n">
        <x:v>1</x:v>
      </x:c>
      <x:c r="H93" s="136" t="str">
        <x:v>High</x:v>
      </x:c>
      <x:c r="I93" s="136" t="str">
        <x:v>Stage 3</x:v>
      </x:c>
      <x:c r="J93" s="136" t="str">
        <x:v>Unassigned</x:v>
      </x:c>
      <x:c r="K93" s="136" t="str">
        <x:v>Taxonomy</x:v>
      </x:c>
      <x:c r="L93" s="136" t="str">
        <x:v>Results contain only selected model and implied make is consistent.</x:v>
      </x:c>
      <x:c r="M93" s="136" t="str">
        <x:v>Model/make overlap; ambiguous numeric names</x:v>
      </x:c>
      <x:c r="N93" s="136" t="str">
        <x:v>Implemented.</x:v>
      </x:c>
      <x:c r="O93" s="136" t="str">
        <x:v>Add browse-page controls and tests.</x:v>
      </x:c>
    </x:row>
    <x:row r="94">
      <x:c r="A94" s="135" t="str">
        <x:v>JW-090</x:v>
      </x:c>
      <x:c r="B94" s="135" t="str">
        <x:v>Search &amp; Browse</x:v>
      </x:c>
      <x:c r="C94" s="135" t="str">
        <x:v>City and province filters</x:v>
      </x:c>
      <x:c r="D94" s="136" t="str">
        <x:v>Filter all verticals by location</x:v>
      </x:c>
      <x:c r="E94" s="136" t="str">
        <x:v>Signed V1</x:v>
      </x:c>
      <x:c r="F94" s="136" t="str">
        <x:v>Completed</x:v>
      </x:c>
      <x:c r="G94" s="137" t="n">
        <x:v>1</x:v>
      </x:c>
      <x:c r="H94" s="136" t="str">
        <x:v>High</x:v>
      </x:c>
      <x:c r="I94" s="136" t="str">
        <x:v>Stage 3</x:v>
      </x:c>
      <x:c r="J94" s="136" t="str">
        <x:v>Unassigned</x:v>
      </x:c>
      <x:c r="K94" s="136" t="str">
        <x:v>Geography</x:v>
      </x:c>
      <x:c r="L94" s="136" t="str">
        <x:v>City/province results are accurate and city suppresses redundant province URL.</x:v>
      </x:c>
      <x:c r="M94" s="136" t="str">
        <x:v>City; province; combination; invalid slug</x:v>
      </x:c>
      <x:c r="N94" s="136" t="str">
        <x:v>Implemented in search and canonical builder.</x:v>
      </x:c>
      <x:c r="O94" s="136" t="str">
        <x:v>Add visible filter controls on browse pages.</x:v>
      </x:c>
    </x:row>
    <x:row r="95">
      <x:c r="A95" s="135" t="str">
        <x:v>JW-091</x:v>
      </x:c>
      <x:c r="B95" s="135" t="str">
        <x:v>Search &amp; Browse</x:v>
      </x:c>
      <x:c r="C95" s="135" t="str">
        <x:v>Body type filter</x:v>
      </x:c>
      <x:c r="D95" s="136" t="str">
        <x:v>Filter cars by supported body type</x:v>
      </x:c>
      <x:c r="E95" s="136" t="str">
        <x:v>Signed V1</x:v>
      </x:c>
      <x:c r="F95" s="136" t="str">
        <x:v>Completed</x:v>
      </x:c>
      <x:c r="G95" s="137" t="n">
        <x:v>1</x:v>
      </x:c>
      <x:c r="H95" s="136" t="str">
        <x:v>Medium</x:v>
      </x:c>
      <x:c r="I95" s="136" t="str">
        <x:v>Stage 3</x:v>
      </x:c>
      <x:c r="J95" s="136" t="str">
        <x:v>Unassigned</x:v>
      </x:c>
      <x:c r="K95" s="136" t="str">
        <x:v>Car facets</x:v>
      </x:c>
      <x:c r="L95" s="136" t="str">
        <x:v>Every visible body type returns only matching cars.</x:v>
      </x:c>
      <x:c r="M95" s="136" t="str">
        <x:v>Enum values; underscore/hyphen conversion; empty</x:v>
      </x:c>
      <x:c r="N95" s="136" t="str">
        <x:v>Implemented and exposed on homepage.</x:v>
      </x:c>
      <x:c r="O95" s="136" t="str">
        <x:v>Add browse filter UI and data tests.</x:v>
      </x:c>
    </x:row>
    <x:row r="96">
      <x:c r="A96" s="135" t="str">
        <x:v>JW-092</x:v>
      </x:c>
      <x:c r="B96" s="135" t="str">
        <x:v>Search &amp; Browse</x:v>
      </x:c>
      <x:c r="C96" s="135" t="str">
        <x:v>Transmission filter</x:v>
      </x:c>
      <x:c r="D96" s="136" t="str">
        <x:v>Manual/automatic car filtering</x:v>
      </x:c>
      <x:c r="E96" s="136" t="str">
        <x:v>Signed V1</x:v>
      </x:c>
      <x:c r="F96" s="136" t="str">
        <x:v>Completed</x:v>
      </x:c>
      <x:c r="G96" s="137" t="n">
        <x:v>1</x:v>
      </x:c>
      <x:c r="H96" s="136" t="str">
        <x:v>Medium</x:v>
      </x:c>
      <x:c r="I96" s="136" t="str">
        <x:v>Stage 3</x:v>
      </x:c>
      <x:c r="J96" s="136" t="str">
        <x:v>Unassigned</x:v>
      </x:c>
      <x:c r="K96" s="136" t="str">
        <x:v>Car facets</x:v>
      </x:c>
      <x:c r="L96" s="136" t="str">
        <x:v>Results accurately match selected transmission.</x:v>
      </x:c>
      <x:c r="M96" s="136" t="str">
        <x:v>Both values; invalid value; combinations</x:v>
      </x:c>
      <x:c r="N96" s="136" t="str">
        <x:v>Search and URL parser support it.</x:v>
      </x:c>
      <x:c r="O96" s="136" t="str">
        <x:v>Expose in browse filter UI.</x:v>
      </x:c>
    </x:row>
    <x:row r="97">
      <x:c r="A97" s="135" t="str">
        <x:v>JW-093</x:v>
      </x:c>
      <x:c r="B97" s="135" t="str">
        <x:v>Search &amp; Browse</x:v>
      </x:c>
      <x:c r="C97" s="135" t="str">
        <x:v>Fuel filter</x:v>
      </x:c>
      <x:c r="D97" s="136" t="str">
        <x:v>Fuel filtering for cars and bikes</x:v>
      </x:c>
      <x:c r="E97" s="136" t="str">
        <x:v>Signed V1</x:v>
      </x:c>
      <x:c r="F97" s="136" t="str">
        <x:v>Completed</x:v>
      </x:c>
      <x:c r="G97" s="137" t="n">
        <x:v>1</x:v>
      </x:c>
      <x:c r="H97" s="136" t="str">
        <x:v>Medium</x:v>
      </x:c>
      <x:c r="I97" s="136" t="str">
        <x:v>Stage 3</x:v>
      </x:c>
      <x:c r="J97" s="136" t="str">
        <x:v>Unassigned</x:v>
      </x:c>
      <x:c r="K97" s="136" t="str">
        <x:v>Vehicle facets</x:v>
      </x:c>
      <x:c r="L97" s="136" t="str">
        <x:v>Results accurately match selected fuel and unsupported values 404.</x:v>
      </x:c>
      <x:c r="M97" s="136" t="str">
        <x:v>All enum values; vertical restriction</x:v>
      </x:c>
      <x:c r="N97" s="136" t="str">
        <x:v>Implemented.</x:v>
      </x:c>
      <x:c r="O97" s="136" t="str">
        <x:v>Expose in browse filter UI.</x:v>
      </x:c>
    </x:row>
    <x:row r="98">
      <x:c r="A98" s="135" t="str">
        <x:v>JW-094</x:v>
      </x:c>
      <x:c r="B98" s="135" t="str">
        <x:v>Search &amp; Browse</x:v>
      </x:c>
      <x:c r="C98" s="135" t="str">
        <x:v>Assembly filter</x:v>
      </x:c>
      <x:c r="D98" s="136" t="str">
        <x:v>Local/imported car filtering</x:v>
      </x:c>
      <x:c r="E98" s="136" t="str">
        <x:v>Signed V1</x:v>
      </x:c>
      <x:c r="F98" s="136" t="str">
        <x:v>Completed</x:v>
      </x:c>
      <x:c r="G98" s="137" t="n">
        <x:v>1</x:v>
      </x:c>
      <x:c r="H98" s="136" t="str">
        <x:v>Low</x:v>
      </x:c>
      <x:c r="I98" s="136" t="str">
        <x:v>Stage 3</x:v>
      </x:c>
      <x:c r="J98" s="136" t="str">
        <x:v>Unassigned</x:v>
      </x:c>
      <x:c r="K98" s="136" t="str">
        <x:v>Car facets</x:v>
      </x:c>
      <x:c r="L98" s="136" t="str">
        <x:v>Results accurately match selected assembly.</x:v>
      </x:c>
      <x:c r="M98" s="136" t="str">
        <x:v>Local/imported; combinations</x:v>
      </x:c>
      <x:c r="N98" s="136" t="str">
        <x:v>Implemented in search.</x:v>
      </x:c>
      <x:c r="O98" s="136" t="str">
        <x:v>Expose in browse filter UI.</x:v>
      </x:c>
    </x:row>
    <x:row r="99">
      <x:c r="A99" s="135" t="str">
        <x:v>JW-095</x:v>
      </x:c>
      <x:c r="B99" s="135" t="str">
        <x:v>Search &amp; Browse</x:v>
      </x:c>
      <x:c r="C99" s="135" t="str">
        <x:v>Origin filter</x:v>
      </x:c>
      <x:c r="D99" s="136" t="str">
        <x:v>Filter cars by make country of origin</x:v>
      </x:c>
      <x:c r="E99" s="136" t="str">
        <x:v>Signed V1</x:v>
      </x:c>
      <x:c r="F99" s="136" t="str">
        <x:v>Completed</x:v>
      </x:c>
      <x:c r="G99" s="137" t="n">
        <x:v>1</x:v>
      </x:c>
      <x:c r="H99" s="136" t="str">
        <x:v>Low</x:v>
      </x:c>
      <x:c r="I99" s="136" t="str">
        <x:v>Stage 3</x:v>
      </x:c>
      <x:c r="J99" s="136" t="str">
        <x:v>Unassigned</x:v>
      </x:c>
      <x:c r="K99" s="136" t="str">
        <x:v>Make taxonomy</x:v>
      </x:c>
      <x:c r="L99" s="136" t="str">
        <x:v>Every origin page returns makes from that origin only.</x:v>
      </x:c>
      <x:c r="M99" s="136" t="str">
        <x:v>All supported origins; taxonomy gaps</x:v>
      </x:c>
      <x:c r="N99" s="136" t="str">
        <x:v>Implemented with subquery.</x:v>
      </x:c>
      <x:c r="O99" s="136" t="str">
        <x:v>Validate seed country values.</x:v>
      </x:c>
    </x:row>
    <x:row r="100">
      <x:c r="A100" s="135" t="str">
        <x:v>JW-096</x:v>
      </x:c>
      <x:c r="B100" s="135" t="str">
        <x:v>Search &amp; Browse</x:v>
      </x:c>
      <x:c r="C100" s="135" t="str">
        <x:v>Feature filter</x:v>
      </x:c>
      <x:c r="D100" s="136" t="str">
        <x:v>Require all selected car features</x:v>
      </x:c>
      <x:c r="E100" s="136" t="str">
        <x:v>Signed V1</x:v>
      </x:c>
      <x:c r="F100" s="136" t="str">
        <x:v>Completed</x:v>
      </x:c>
      <x:c r="G100" s="137" t="n">
        <x:v>1</x:v>
      </x:c>
      <x:c r="H100" s="136" t="str">
        <x:v>Medium</x:v>
      </x:c>
      <x:c r="I100" s="136" t="str">
        <x:v>Stage 3</x:v>
      </x:c>
      <x:c r="J100" s="136" t="str">
        <x:v>Unassigned</x:v>
      </x:c>
      <x:c r="K100" s="136" t="str">
        <x:v>Listing feature relation</x:v>
      </x:c>
      <x:c r="L100" s="136" t="str">
        <x:v>Multi-feature filtering uses AND semantics and never 500s.</x:v>
      </x:c>
      <x:c r="M100" s="136" t="str">
        <x:v>Single/multiple features; duplicate features; no match</x:v>
      </x:c>
      <x:c r="N100" s="136" t="str">
        <x:v>Implemented with correlated count query.</x:v>
      </x:c>
      <x:c r="O100" s="136" t="str">
        <x:v>Add database integration tests.</x:v>
      </x:c>
    </x:row>
    <x:row r="101">
      <x:c r="A101" s="135" t="str">
        <x:v>JW-097</x:v>
      </x:c>
      <x:c r="B101" s="135" t="str">
        <x:v>Search &amp; Browse</x:v>
      </x:c>
      <x:c r="C101" s="135" t="str">
        <x:v>Price range filter</x:v>
      </x:c>
      <x:c r="D101" s="136" t="str">
        <x:v>Minimum/maximum price across all verticals</x:v>
      </x:c>
      <x:c r="E101" s="136" t="str">
        <x:v>Signed V1</x:v>
      </x:c>
      <x:c r="F101" s="136" t="str">
        <x:v>Completed</x:v>
      </x:c>
      <x:c r="G101" s="137" t="n">
        <x:v>1</x:v>
      </x:c>
      <x:c r="H101" s="136" t="str">
        <x:v>High</x:v>
      </x:c>
      <x:c r="I101" s="136" t="str">
        <x:v>Stage 3</x:v>
      </x:c>
      <x:c r="J101" s="136" t="str">
        <x:v>Unassigned</x:v>
      </x:c>
      <x:c r="K101" s="136" t="str">
        <x:v>Range parsing</x:v>
      </x:c>
      <x:c r="L101" s="136" t="str">
        <x:v>Open and closed ranges filter accurately and remain noindex.</x:v>
      </x:c>
      <x:c r="M101" s="136" t="str">
        <x:v>Min/max/open/inverted/boundary</x:v>
      </x:c>
      <x:c r="N101" s="136" t="str">
        <x:v>Implemented in search and homepage.</x:v>
      </x:c>
      <x:c r="O101" s="136" t="str">
        <x:v>Add browse UI and DB assertions.</x:v>
      </x:c>
    </x:row>
    <x:row r="102">
      <x:c r="A102" s="135" t="str">
        <x:v>JW-098</x:v>
      </x:c>
      <x:c r="B102" s="135" t="str">
        <x:v>Search &amp; Browse</x:v>
      </x:c>
      <x:c r="C102" s="135" t="str">
        <x:v>Year range filter</x:v>
      </x:c>
      <x:c r="D102" s="136" t="str">
        <x:v>Model year range for cars and bikes</x:v>
      </x:c>
      <x:c r="E102" s="136" t="str">
        <x:v>Signed V1</x:v>
      </x:c>
      <x:c r="F102" s="136" t="str">
        <x:v>Completed</x:v>
      </x:c>
      <x:c r="G102" s="137" t="n">
        <x:v>1</x:v>
      </x:c>
      <x:c r="H102" s="136" t="str">
        <x:v>High</x:v>
      </x:c>
      <x:c r="I102" s="136" t="str">
        <x:v>Stage 3</x:v>
      </x:c>
      <x:c r="J102" s="136" t="str">
        <x:v>Unassigned</x:v>
      </x:c>
      <x:c r="K102" s="136" t="str">
        <x:v>Range parsing</x:v>
      </x:c>
      <x:c r="L102" s="136" t="str">
        <x:v>Results fall within inclusive boundaries.</x:v>
      </x:c>
      <x:c r="M102" s="136" t="str">
        <x:v>Open/closed/inverted/boundary</x:v>
      </x:c>
      <x:c r="N102" s="136" t="str">
        <x:v>Implemented in search and homepage.</x:v>
      </x:c>
      <x:c r="O102" s="136" t="str">
        <x:v>Add browse UI.</x:v>
      </x:c>
    </x:row>
    <x:row r="103">
      <x:c r="A103" s="135" t="str">
        <x:v>JW-099</x:v>
      </x:c>
      <x:c r="B103" s="135" t="str">
        <x:v>Search &amp; Browse</x:v>
      </x:c>
      <x:c r="C103" s="135" t="str">
        <x:v>Mileage range filter</x:v>
      </x:c>
      <x:c r="D103" s="136" t="str">
        <x:v>Mileage range for cars and bikes</x:v>
      </x:c>
      <x:c r="E103" s="136" t="str">
        <x:v>Signed V1</x:v>
      </x:c>
      <x:c r="F103" s="136" t="str">
        <x:v>Completed</x:v>
      </x:c>
      <x:c r="G103" s="137" t="n">
        <x:v>1</x:v>
      </x:c>
      <x:c r="H103" s="136" t="str">
        <x:v>Medium</x:v>
      </x:c>
      <x:c r="I103" s="136" t="str">
        <x:v>Stage 3</x:v>
      </x:c>
      <x:c r="J103" s="136" t="str">
        <x:v>Unassigned</x:v>
      </x:c>
      <x:c r="K103" s="136" t="str">
        <x:v>Range parsing</x:v>
      </x:c>
      <x:c r="L103" s="136" t="str">
        <x:v>Results fall within inclusive mileage boundaries.</x:v>
      </x:c>
      <x:c r="M103" s="136" t="str">
        <x:v>Zero/open/max/boundary</x:v>
      </x:c>
      <x:c r="N103" s="136" t="str">
        <x:v>Backend supports it; no visible browse control.</x:v>
      </x:c>
      <x:c r="O103" s="136" t="str">
        <x:v>Expose in More Filters.</x:v>
      </x:c>
    </x:row>
    <x:row r="104">
      <x:c r="A104" s="135" t="str">
        <x:v>JW-100</x:v>
      </x:c>
      <x:c r="B104" s="135" t="str">
        <x:v>Search &amp; Browse</x:v>
      </x:c>
      <x:c r="C104" s="135" t="str">
        <x:v>Engine capacity filter</x:v>
      </x:c>
      <x:c r="D104" s="136" t="str">
        <x:v>Engine cc range for vehicles</x:v>
      </x:c>
      <x:c r="E104" s="136" t="str">
        <x:v>Signed V1</x:v>
      </x:c>
      <x:c r="F104" s="136" t="str">
        <x:v>Completed</x:v>
      </x:c>
      <x:c r="G104" s="137" t="n">
        <x:v>1</x:v>
      </x:c>
      <x:c r="H104" s="136" t="str">
        <x:v>Low</x:v>
      </x:c>
      <x:c r="I104" s="136" t="str">
        <x:v>Stage 3</x:v>
      </x:c>
      <x:c r="J104" s="136" t="str">
        <x:v>Unassigned</x:v>
      </x:c>
      <x:c r="K104" s="136" t="str">
        <x:v>Range parsing</x:v>
      </x:c>
      <x:c r="L104" s="136" t="str">
        <x:v>Results fall within inclusive engine range.</x:v>
      </x:c>
      <x:c r="M104" s="136" t="str">
        <x:v>Open/closed/boundary</x:v>
      </x:c>
      <x:c r="N104" s="136" t="str">
        <x:v>Backend supports it; no visible browse control.</x:v>
      </x:c>
      <x:c r="O104" s="136" t="str">
        <x:v>Expose where appropriate.</x:v>
      </x:c>
    </x:row>
    <x:row r="105">
      <x:c r="A105" s="135" t="str">
        <x:v>JW-101</x:v>
      </x:c>
      <x:c r="B105" s="135" t="str">
        <x:v>Search &amp; Browse</x:v>
      </x:c>
      <x:c r="C105" s="135" t="str">
        <x:v>Auto-parts category filter</x:v>
      </x:c>
      <x:c r="D105" s="136" t="str">
        <x:v>Filter parts by selected category</x:v>
      </x:c>
      <x:c r="E105" s="136" t="str">
        <x:v>Signed V1</x:v>
      </x:c>
      <x:c r="F105" s="136" t="str">
        <x:v>Completed</x:v>
      </x:c>
      <x:c r="G105" s="137" t="n">
        <x:v>1</x:v>
      </x:c>
      <x:c r="H105" s="136" t="str">
        <x:v>Critical</x:v>
      </x:c>
      <x:c r="I105" s="136" t="str">
        <x:v>Stage 1</x:v>
      </x:c>
      <x:c r="J105" s="136" t="str">
        <x:v>Unassigned</x:v>
      </x:c>
      <x:c r="K105" s="136" t="str">
        <x:v>partDetails join</x:v>
      </x:c>
      <x:c r="L105" s="136" t="str">
        <x:v>Category URLs return only listings in that category.</x:v>
      </x:c>
      <x:c r="M105" s="136" t="str">
        <x:v>Multiple categories; invalid; empty; child category</x:v>
      </x:c>
      <x:c r="N105" s="136" t="str">
        <x:v>Parts category/condition/compatibility filtering and browse filter UI are implemented.</x:v>
      </x:c>
      <x:c r="O105" s="136" t="str">
        <x:v>Retain in final regression and comprehensive browser QA.</x:v>
      </x:c>
    </x:row>
    <x:row r="106">
      <x:c r="A106" s="135" t="str">
        <x:v>JW-102</x:v>
      </x:c>
      <x:c r="B106" s="135" t="str">
        <x:v>Search &amp; Browse</x:v>
      </x:c>
      <x:c r="C106" s="135" t="str">
        <x:v>Auto-parts condition filter</x:v>
      </x:c>
      <x:c r="D106" s="136" t="str">
        <x:v>New/used/refurbished filtering</x:v>
      </x:c>
      <x:c r="E106" s="136" t="str">
        <x:v>Signed V1</x:v>
      </x:c>
      <x:c r="F106" s="136" t="str">
        <x:v>Completed</x:v>
      </x:c>
      <x:c r="G106" s="137" t="n">
        <x:v>1</x:v>
      </x:c>
      <x:c r="H106" s="136" t="str">
        <x:v>Critical</x:v>
      </x:c>
      <x:c r="I106" s="136" t="str">
        <x:v>Stage 1</x:v>
      </x:c>
      <x:c r="J106" s="136" t="str">
        <x:v>Unassigned</x:v>
      </x:c>
      <x:c r="K106" s="136" t="str">
        <x:v>partDetails join</x:v>
      </x:c>
      <x:c r="L106" s="136" t="str">
        <x:v>Condition URLs return only matching parts.</x:v>
      </x:c>
      <x:c r="M106" s="136" t="str">
        <x:v>All conditions; combinations; invalid</x:v>
      </x:c>
      <x:c r="N106" s="136" t="str">
        <x:v>Parts category/condition/compatibility filtering and browse filter UI are implemented.</x:v>
      </x:c>
      <x:c r="O106" s="136" t="str">
        <x:v>Retain in final regression and comprehensive browser QA.</x:v>
      </x:c>
    </x:row>
    <x:row r="107">
      <x:c r="A107" s="135" t="str">
        <x:v>JW-103</x:v>
      </x:c>
      <x:c r="B107" s="135" t="str">
        <x:v>Search &amp; Browse</x:v>
      </x:c>
      <x:c r="C107" s="135" t="str">
        <x:v>Auto-parts compatibility filter</x:v>
      </x:c>
      <x:c r="D107" s="136" t="str">
        <x:v>Filter parts by compatible make/model</x:v>
      </x:c>
      <x:c r="E107" s="136" t="str">
        <x:v>Signed V1</x:v>
      </x:c>
      <x:c r="F107" s="136" t="str">
        <x:v>Completed</x:v>
      </x:c>
      <x:c r="G107" s="137" t="n">
        <x:v>1</x:v>
      </x:c>
      <x:c r="H107" s="136" t="str">
        <x:v>Medium</x:v>
      </x:c>
      <x:c r="I107" s="136" t="str">
        <x:v>Stage 3</x:v>
      </x:c>
      <x:c r="J107" s="136" t="str">
        <x:v>Unassigned</x:v>
      </x:c>
      <x:c r="K107" s="136" t="str">
        <x:v>Part creation data</x:v>
      </x:c>
      <x:c r="L107" s="136" t="str">
        <x:v>Buyer can select compatibility and results include exact/universal parts per approved rule.</x:v>
      </x:c>
      <x:c r="M107" s="136" t="str">
        <x:v>Exact make/model; universal; mismatches</x:v>
      </x:c>
      <x:c r="N107" s="136" t="str">
        <x:v>Parts category/condition/compatibility filtering and browse filter UI are implemented.</x:v>
      </x:c>
      <x:c r="O107" s="136" t="str">
        <x:v>Retain in final regression and comprehensive browser QA.</x:v>
      </x:c>
    </x:row>
    <x:row r="108">
      <x:c r="A108" s="135" t="str">
        <x:v>JW-104</x:v>
      </x:c>
      <x:c r="B108" s="135" t="str">
        <x:v>Search &amp; Browse</x:v>
      </x:c>
      <x:c r="C108" s="135" t="str">
        <x:v>Browse-page filter UI</x:v>
      </x:c>
      <x:c r="D108" s="136" t="str">
        <x:v>Visible desktop/mobile controls for supported filters</x:v>
      </x:c>
      <x:c r="E108" s="136" t="str">
        <x:v>Signed V1</x:v>
      </x:c>
      <x:c r="F108" s="136" t="str">
        <x:v>Completed</x:v>
      </x:c>
      <x:c r="G108" s="137" t="n">
        <x:v>1</x:v>
      </x:c>
      <x:c r="H108" s="136" t="str">
        <x:v>Critical</x:v>
      </x:c>
      <x:c r="I108" s="136" t="str">
        <x:v>Stage 3</x:v>
      </x:c>
      <x:c r="J108" s="136" t="str">
        <x:v>Unassigned</x:v>
      </x:c>
      <x:c r="K108" s="136" t="str">
        <x:v>Correct backend filters</x:v>
      </x:c>
      <x:c r="L108" s="136" t="str">
        <x:v>Users can refine results without manually editing URLs; selected state is visible and clearable.</x:v>
      </x:c>
      <x:c r="M108" s="136" t="str">
        <x:v>Every filter; mobile drawer; back/forward; URL sync</x:v>
      </x:c>
      <x:c r="N108" s="136" t="str">
        <x:v>Parts category/condition/compatibility filtering and browse filter UI are implemented.</x:v>
      </x:c>
      <x:c r="O108" s="136" t="str">
        <x:v>Retain in final regression and comprehensive browser QA.</x:v>
      </x:c>
    </x:row>
    <x:row r="109">
      <x:c r="A109" s="135" t="str">
        <x:v>JW-105</x:v>
      </x:c>
      <x:c r="B109" s="135" t="str">
        <x:v>Search &amp; Browse</x:v>
      </x:c>
      <x:c r="C109" s="135" t="str">
        <x:v>Sorting</x:v>
      </x:c>
      <x:c r="D109" s="136" t="str">
        <x:v>Recent, price, year and mileage ordering</x:v>
      </x:c>
      <x:c r="E109" s="136" t="str">
        <x:v>Signed V1</x:v>
      </x:c>
      <x:c r="F109" s="136" t="str">
        <x:v>Completed</x:v>
      </x:c>
      <x:c r="G109" s="137" t="n">
        <x:v>1</x:v>
      </x:c>
      <x:c r="H109" s="136" t="str">
        <x:v>High</x:v>
      </x:c>
      <x:c r="I109" s="136" t="str">
        <x:v>Stage 3</x:v>
      </x:c>
      <x:c r="J109" s="136" t="str">
        <x:v>Unassigned</x:v>
      </x:c>
      <x:c r="K109" s="136" t="str">
        <x:v>Search query</x:v>
      </x:c>
      <x:c r="L109" s="136" t="str">
        <x:v>All sort modes are stable, correct and canonicalized as noindex variants.</x:v>
      </x:c>
      <x:c r="M109" s="136" t="str">
        <x:v>Each sort; equal values; invalid sort</x:v>
      </x:c>
      <x:c r="N109" s="136" t="str">
        <x:v>SortSelect and backend ordering exist.</x:v>
      </x:c>
      <x:c r="O109" s="136" t="str">
        <x:v>Validate invalid sort handling and add tests.</x:v>
      </x:c>
    </x:row>
    <x:row r="110">
      <x:c r="A110" s="135" t="str">
        <x:v>JW-106</x:v>
      </x:c>
      <x:c r="B110" s="135" t="str">
        <x:v>Search &amp; Browse</x:v>
      </x:c>
      <x:c r="C110" s="135" t="str">
        <x:v>Pagination</x:v>
      </x:c>
      <x:c r="D110" s="136" t="str">
        <x:v>25 results per page with stable navigation</x:v>
      </x:c>
      <x:c r="E110" s="136" t="str">
        <x:v>Signed V1</x:v>
      </x:c>
      <x:c r="F110" s="136" t="str">
        <x:v>Completed</x:v>
      </x:c>
      <x:c r="G110" s="137" t="n">
        <x:v>1</x:v>
      </x:c>
      <x:c r="H110" s="136" t="str">
        <x:v>High</x:v>
      </x:c>
      <x:c r="I110" s="136" t="str">
        <x:v>Stage 3</x:v>
      </x:c>
      <x:c r="J110" s="136" t="str">
        <x:v>Unassigned</x:v>
      </x:c>
      <x:c r="K110" s="136" t="str">
        <x:v>Search total</x:v>
      </x:c>
      <x:c r="L110" s="136" t="str">
        <x:v>Correct page count, boundaries, query preservation and no duplicate/missing records.</x:v>
      </x:c>
      <x:c r="M110" s="136" t="str">
        <x:v>Page 1/middle/last/out-of-range; stable order</x:v>
      </x:c>
      <x:c r="N110" s="136" t="str">
        <x:v>Pagination component and count query exist.</x:v>
      </x:c>
      <x:c r="O110" s="136" t="str">
        <x:v>Add large dataset integration tests.</x:v>
      </x:c>
    </x:row>
    <x:row r="111">
      <x:c r="A111" s="135" t="str">
        <x:v>JW-107</x:v>
      </x:c>
      <x:c r="B111" s="135" t="str">
        <x:v>Search &amp; Browse</x:v>
      </x:c>
      <x:c r="C111" s="135" t="str">
        <x:v>Empty/loading/error states</x:v>
      </x:c>
      <x:c r="D111" s="136" t="str">
        <x:v>Clear states for no results and transient failures</x:v>
      </x:c>
      <x:c r="E111" s="136" t="str">
        <x:v>Signed V1</x:v>
      </x:c>
      <x:c r="F111" s="136" t="str">
        <x:v>Partially Implemented</x:v>
      </x:c>
      <x:c r="G111" s="137" t="n">
        <x:v>0.9</x:v>
      </x:c>
      <x:c r="H111" s="136" t="str">
        <x:v>High</x:v>
      </x:c>
      <x:c r="I111" s="136" t="str">
        <x:v>Stage 3</x:v>
      </x:c>
      <x:c r="J111" s="136" t="str">
        <x:v>Unassigned</x:v>
      </x:c>
      <x:c r="K111" s="136" t="str">
        <x:v>Browse UI</x:v>
      </x:c>
      <x:c r="L111" s="136" t="str">
        <x:v>No-result state is actionable; loading and recoverable errors do not show framework crashes.</x:v>
      </x:c>
      <x:c r="M111" s="136" t="str">
        <x:v>Empty DB; query failure; slow response</x:v>
      </x:c>
      <x:c r="N111" s="136" t="str">
        <x:v>Cars, bikes and parts browsing now have accessible loading skeletons scoped after URL validation, plus route-level recoverable error screens with retry and clear-filters actions. Actionable no-results state was already present; invalid URL 404 and canonical redirects remain protected.</x:v>
      </x:c>
      <x:c r="O111" s="136" t="str">
        <x:v>Exercise the error boundary with a controlled backend failure in isolated browser acceptance, then verify slow-network loading and retry on live devices.</x:v>
      </x:c>
    </x:row>
    <x:row r="112">
      <x:c r="A112" s="135" t="str">
        <x:v>JW-108</x:v>
      </x:c>
      <x:c r="B112" s="135" t="str">
        <x:v>Search &amp; Browse</x:v>
      </x:c>
      <x:c r="C112" s="135" t="str">
        <x:v>Search performance</x:v>
      </x:c>
      <x:c r="D112" s="136" t="str">
        <x:v>Indexed PostgreSQL queries for 20,000+ listings</x:v>
      </x:c>
      <x:c r="E112" s="136" t="str">
        <x:v>Signed V1</x:v>
      </x:c>
      <x:c r="F112" s="136" t="str">
        <x:v>Partially Implemented</x:v>
      </x:c>
      <x:c r="G112" s="137" t="n">
        <x:v>0.6</x:v>
      </x:c>
      <x:c r="H112" s="136" t="str">
        <x:v>Critical</x:v>
      </x:c>
      <x:c r="I112" s="136" t="str">
        <x:v>Stage 6</x:v>
      </x:c>
      <x:c r="J112" s="136" t="str">
        <x:v>Unassigned</x:v>
      </x:c>
      <x:c r="K112" s="136" t="str">
        <x:v>Production-like DB</x:v>
      </x:c>
      <x:c r="L112" s="136" t="str">
        <x:v>P95 response time meets agreed target under representative filters and concurrency.</x:v>
      </x:c>
      <x:c r="M112" s="136" t="str">
        <x:v>EXPLAIN ANALYZE; 20k listings; 500 concurrent users</x:v>
      </x:c>
      <x:c r="N112" s="136" t="str">
        <x:v>Indexes are designed; no load/query-plan test has been run.</x:v>
      </x:c>
      <x:c r="O112" s="136" t="str">
        <x:v>Seed production-like volume and load test.</x:v>
      </x:c>
    </x:row>
    <x:row r="113">
      <x:c r="A113" s="135" t="str">
        <x:v>JW-109</x:v>
      </x:c>
      <x:c r="B113" s="135" t="str">
        <x:v>Listing Detail &amp; Contact</x:v>
      </x:c>
      <x:c r="C113" s="135" t="str">
        <x:v>Unified detail pages</x:v>
      </x:c>
      <x:c r="D113" s="136" t="str">
        <x:v>Cars, bikes and parts render category-specific details</x:v>
      </x:c>
      <x:c r="E113" s="136" t="str">
        <x:v>Signed V1</x:v>
      </x:c>
      <x:c r="F113" s="136" t="str">
        <x:v>Completed</x:v>
      </x:c>
      <x:c r="G113" s="137" t="n">
        <x:v>1</x:v>
      </x:c>
      <x:c r="H113" s="136" t="str">
        <x:v>Critical</x:v>
      </x:c>
      <x:c r="I113" s="136" t="str">
        <x:v>Stage 3</x:v>
      </x:c>
      <x:c r="J113" s="136" t="str">
        <x:v>Unassigned</x:v>
      </x:c>
      <x:c r="K113" s="136" t="str">
        <x:v>Listing data</x:v>
      </x:c>
      <x:c r="L113" s="136" t="str">
        <x:v>Correct fields, title, price, location and images render for every vertical.</x:v>
      </x:c>
      <x:c r="M113" s="136" t="str">
        <x:v>Representative listings; missing optional fields; mobile</x:v>
      </x:c>
      <x:c r="N113" s="136" t="str">
        <x:v>Shared detail query and component exist.</x:v>
      </x:c>
      <x:c r="O113" s="136" t="str">
        <x:v>Add cross-vertical E2E coverage.</x:v>
      </x:c>
    </x:row>
    <x:row r="114">
      <x:c r="A114" s="135" t="str">
        <x:v>JW-110</x:v>
      </x:c>
      <x:c r="B114" s="135" t="str">
        <x:v>Listing Detail &amp; Contact</x:v>
      </x:c>
      <x:c r="C114" s="135" t="str">
        <x:v>Image gallery</x:v>
      </x:c>
      <x:c r="D114" s="136" t="str">
        <x:v>Primary image and horizontally scrollable thumbnails</x:v>
      </x:c>
      <x:c r="E114" s="136" t="str">
        <x:v>Signed V1</x:v>
      </x:c>
      <x:c r="F114" s="136" t="str">
        <x:v>Completed</x:v>
      </x:c>
      <x:c r="G114" s="137" t="n">
        <x:v>1</x:v>
      </x:c>
      <x:c r="H114" s="136" t="str">
        <x:v>High</x:v>
      </x:c>
      <x:c r="I114" s="136" t="str">
        <x:v>Stage 3</x:v>
      </x:c>
      <x:c r="J114" s="136" t="str">
        <x:v>Unassigned</x:v>
      </x:c>
      <x:c r="K114" s="136" t="str">
        <x:v>Listing images</x:v>
      </x:c>
      <x:c r="L114" s="136" t="str">
        <x:v>First image is prioritized and thumbnails load without layout shift.</x:v>
      </x:c>
      <x:c r="M114" s="136" t="str">
        <x:v>1/2/12/30 images; missing images; mobile</x:v>
      </x:c>
      <x:c r="N114" s="136" t="str">
        <x:v>Gallery exists.</x:v>
      </x:c>
      <x:c r="O114" s="136" t="str">
        <x:v>Add interactive primary-image selection if required; currently thumbnails are display-only.</x:v>
      </x:c>
    </x:row>
    <x:row r="115">
      <x:c r="A115" s="135" t="str">
        <x:v>JW-111</x:v>
      </x:c>
      <x:c r="B115" s="135" t="str">
        <x:v>Listing Detail &amp; Contact</x:v>
      </x:c>
      <x:c r="C115" s="135" t="str">
        <x:v>Specifications</x:v>
      </x:c>
      <x:c r="D115" s="136" t="str">
        <x:v>Relevant vehicle/part specifications and features</x:v>
      </x:c>
      <x:c r="E115" s="136" t="str">
        <x:v>Signed V1</x:v>
      </x:c>
      <x:c r="F115" s="136" t="str">
        <x:v>Completed</x:v>
      </x:c>
      <x:c r="G115" s="137" t="n">
        <x:v>1</x:v>
      </x:c>
      <x:c r="H115" s="136" t="str">
        <x:v>High</x:v>
      </x:c>
      <x:c r="I115" s="136" t="str">
        <x:v>Stage 3</x:v>
      </x:c>
      <x:c r="J115" s="136" t="str">
        <x:v>Unassigned</x:v>
      </x:c>
      <x:c r="K115" s="136" t="str">
        <x:v>Detail data</x:v>
      </x:c>
      <x:c r="L115" s="136" t="str">
        <x:v>Only applicable fields render with understandable fallbacks.</x:v>
      </x:c>
      <x:c r="M115" s="136" t="str">
        <x:v>All optional fields; each vertical</x:v>
      </x:c>
      <x:c r="N115" s="136" t="str">
        <x:v>Implemented.</x:v>
      </x:c>
      <x:c r="O115" s="136" t="str">
        <x:v>Reconcile with completed creation fields.</x:v>
      </x:c>
    </x:row>
    <x:row r="116">
      <x:c r="A116" s="135" t="str">
        <x:v>JW-112</x:v>
      </x:c>
      <x:c r="B116" s="135" t="str">
        <x:v>Listing Detail &amp; Contact</x:v>
      </x:c>
      <x:c r="C116" s="135" t="str">
        <x:v>Similar listings</x:v>
      </x:c>
      <x:c r="D116" s="136" t="str">
        <x:v>Same-model active listings prioritized by city and price</x:v>
      </x:c>
      <x:c r="E116" s="136" t="str">
        <x:v>Signed V1</x:v>
      </x:c>
      <x:c r="F116" s="136" t="str">
        <x:v>Completed</x:v>
      </x:c>
      <x:c r="G116" s="137" t="n">
        <x:v>1</x:v>
      </x:c>
      <x:c r="H116" s="136" t="str">
        <x:v>Medium</x:v>
      </x:c>
      <x:c r="I116" s="136" t="str">
        <x:v>Stage 3</x:v>
      </x:c>
      <x:c r="J116" s="136" t="str">
        <x:v>Unassigned</x:v>
      </x:c>
      <x:c r="K116" s="136" t="str">
        <x:v>Model taxonomy</x:v>
      </x:c>
      <x:c r="L116" s="136" t="str">
        <x:v>Current listing is excluded; only active relevant ads appear.</x:v>
      </x:c>
      <x:c r="M116" s="136" t="str">
        <x:v>No model; no similar; same city/price ordering</x:v>
      </x:c>
      <x:c r="N116" s="136" t="str">
        <x:v>Implemented for model-based listings.</x:v>
      </x:c>
      <x:c r="O116" s="136" t="str">
        <x:v>Define parts similarity later if needed.</x:v>
      </x:c>
    </x:row>
    <x:row r="117">
      <x:c r="A117" s="135" t="str">
        <x:v>JW-113</x:v>
      </x:c>
      <x:c r="B117" s="135" t="str">
        <x:v>Listing Detail &amp; Contact</x:v>
      </x:c>
      <x:c r="C117" s="135" t="str">
        <x:v>Phone reveal</x:v>
      </x:c>
      <x:c r="D117" s="136" t="str">
        <x:v>Masked number revealed on deliberate buyer action</x:v>
      </x:c>
      <x:c r="E117" s="136" t="str">
        <x:v>Signed V1</x:v>
      </x:c>
      <x:c r="F117" s="136" t="str">
        <x:v>Completed</x:v>
      </x:c>
      <x:c r="G117" s="137" t="n">
        <x:v>1</x:v>
      </x:c>
      <x:c r="H117" s="136" t="str">
        <x:v>Critical</x:v>
      </x:c>
      <x:c r="I117" s="136" t="str">
        <x:v>Stage 3</x:v>
      </x:c>
      <x:c r="J117" s="136" t="str">
        <x:v>Unassigned</x:v>
      </x:c>
      <x:c r="K117" s="136" t="str">
        <x:v>Active listing and seller</x:v>
      </x:c>
      <x:c r="L117" s="136" t="str">
        <x:v>Only active listing numbers are revealed and tel link works.</x:v>
      </x:c>
      <x:c r="M117" s="136" t="str">
        <x:v>Active/inactive/missing; anonymous/auth; phone formats</x:v>
      </x:c>
      <x:c r="N117" s="136" t="str">
        <x:v>Implemented with lead logging.</x:v>
      </x:c>
      <x:c r="O117" s="136" t="str">
        <x:v>Add rate limiting/anti-scraping.</x:v>
      </x:c>
    </x:row>
    <x:row r="118">
      <x:c r="A118" s="135" t="str">
        <x:v>JW-114</x:v>
      </x:c>
      <x:c r="B118" s="135" t="str">
        <x:v>Listing Detail &amp; Contact</x:v>
      </x:c>
      <x:c r="C118" s="135" t="str">
        <x:v>Phone lead analytics</x:v>
      </x:c>
      <x:c r="D118" s="136" t="str">
        <x:v>Record reveal and increment listing lead count</x:v>
      </x:c>
      <x:c r="E118" s="136" t="str">
        <x:v>Signed V1</x:v>
      </x:c>
      <x:c r="F118" s="136" t="str">
        <x:v>Completed</x:v>
      </x:c>
      <x:c r="G118" s="137" t="n">
        <x:v>1</x:v>
      </x:c>
      <x:c r="H118" s="136" t="str">
        <x:v>High</x:v>
      </x:c>
      <x:c r="I118" s="136" t="str">
        <x:v>Stage 3</x:v>
      </x:c>
      <x:c r="J118" s="136" t="str">
        <x:v>Unassigned</x:v>
      </x:c>
      <x:c r="K118" s="136" t="str">
        <x:v>Lead events</x:v>
      </x:c>
      <x:c r="L118" s="136" t="str">
        <x:v>Analytics failure never blocks contact; dashboard count updates.</x:v>
      </x:c>
      <x:c r="M118" s="136" t="str">
        <x:v>Insert failure; repeat clicks; concurrency</x:v>
      </x:c>
      <x:c r="N118" s="136" t="str">
        <x:v>Implemented transaction with failure isolation.</x:v>
      </x:c>
      <x:c r="O118" s="136" t="str">
        <x:v>Define deduplication policy and test.</x:v>
      </x:c>
    </x:row>
    <x:row r="119">
      <x:c r="A119" s="135" t="str">
        <x:v>JW-115</x:v>
      </x:c>
      <x:c r="B119" s="135" t="str">
        <x:v>Listing Detail &amp; Contact</x:v>
      </x:c>
      <x:c r="C119" s="135" t="str">
        <x:v>WhatsApp seller action</x:v>
      </x:c>
      <x:c r="D119" s="136" t="str">
        <x:v>Open direct WhatsApp contact and record click</x:v>
      </x:c>
      <x:c r="E119" s="136" t="str">
        <x:v>Signed V1</x:v>
      </x:c>
      <x:c r="F119" s="136" t="str">
        <x:v>Completed</x:v>
      </x:c>
      <x:c r="G119" s="137" t="n">
        <x:v>1</x:v>
      </x:c>
      <x:c r="H119" s="136" t="str">
        <x:v>High</x:v>
      </x:c>
      <x:c r="I119" s="136" t="str">
        <x:v>Stage 3</x:v>
      </x:c>
      <x:c r="J119" s="136" t="str">
        <x:v>Unassigned</x:v>
      </x:c>
      <x:c r="K119" s="136" t="str">
        <x:v>Approved seller phone/WhatsApp</x:v>
      </x:c>
      <x:c r="L119" s="136" t="str">
        <x:v>Action opens a valid wa.me link for active listings and records a lead event.</x:v>
      </x:c>
      <x:c r="M119" s="136" t="str">
        <x:v>Phone normalization; active/inactive; mobile/desktop</x:v>
      </x:c>
      <x:c r="N119" s="136" t="str">
        <x:v>Contact actions and inactive-listing contact restrictions are implemented in current detail routes.</x:v>
      </x:c>
      <x:c r="O119" s="136" t="str">
        <x:v>Retain in final regression and comprehensive browser QA.</x:v>
      </x:c>
    </x:row>
    <x:row r="120">
      <x:c r="A120" s="135" t="str">
        <x:v>JW-116</x:v>
      </x:c>
      <x:c r="B120" s="135" t="str">
        <x:v>Listing Detail &amp; Contact</x:v>
      </x:c>
      <x:c r="C120" s="135" t="str">
        <x:v>Dealer contact/profile link</x:v>
      </x:c>
      <x:c r="D120" s="136" t="str">
        <x:v>Show dealer identity and inventory link</x:v>
      </x:c>
      <x:c r="E120" s="136" t="str">
        <x:v>Signed V1</x:v>
      </x:c>
      <x:c r="F120" s="136" t="str">
        <x:v>Completed</x:v>
      </x:c>
      <x:c r="G120" s="137" t="n">
        <x:v>1</x:v>
      </x:c>
      <x:c r="H120" s="136" t="str">
        <x:v>Medium</x:v>
      </x:c>
      <x:c r="I120" s="136" t="str">
        <x:v>Stage 3</x:v>
      </x:c>
      <x:c r="J120" s="136" t="str">
        <x:v>Unassigned</x:v>
      </x:c>
      <x:c r="K120" s="136" t="str">
        <x:v>Dealer relation</x:v>
      </x:c>
      <x:c r="L120" s="136" t="str">
        <x:v>Dealer listing links to correct storefront; private sellers remain clearly labeled.</x:v>
      </x:c>
      <x:c r="M120" s="136" t="str">
        <x:v>Dealer/private; missing dealer; unverified badge</x:v>
      </x:c>
      <x:c r="N120" s="136" t="str">
        <x:v>Implemented.</x:v>
      </x:c>
      <x:c r="O120" s="136" t="str">
        <x:v>Add dealer-profile click tracking if required.</x:v>
      </x:c>
    </x:row>
    <x:row r="121">
      <x:c r="A121" s="135" t="str">
        <x:v>JW-117</x:v>
      </x:c>
      <x:c r="B121" s="135" t="str">
        <x:v>Listing Detail &amp; Contact</x:v>
      </x:c>
      <x:c r="C121" s="135" t="str">
        <x:v>Inspection link</x:v>
      </x:c>
      <x:c r="D121" s="136" t="str">
        <x:v>Pre-fill listing ID in inspection request</x:v>
      </x:c>
      <x:c r="E121" s="136" t="str">
        <x:v>Signed V1</x:v>
      </x:c>
      <x:c r="F121" s="136" t="str">
        <x:v>Completed</x:v>
      </x:c>
      <x:c r="G121" s="137" t="n">
        <x:v>1</x:v>
      </x:c>
      <x:c r="H121" s="136" t="str">
        <x:v>Medium</x:v>
      </x:c>
      <x:c r="I121" s="136" t="str">
        <x:v>Stage 5</x:v>
      </x:c>
      <x:c r="J121" s="136" t="str">
        <x:v>Unassigned</x:v>
      </x:c>
      <x:c r="K121" s="136" t="str">
        <x:v>Inspection route</x:v>
      </x:c>
      <x:c r="L121" s="136" t="str">
        <x:v>Car detail opens inspection form tied to the correct listing.</x:v>
      </x:c>
      <x:c r="M121" s="136" t="str">
        <x:v>Valid/invalid listing ID; non-car listing</x:v>
      </x:c>
      <x:c r="N121" s="136" t="str">
        <x:v>Desktop/mobile car-linked inspection acceptance preserves listing reference across sign-in and stores the request/event; forged or unavailable IDs fail without creating a request.</x:v>
      </x:c>
      <x:c r="O121" s="136" t="str">
        <x:v>Retain passing linked-request tests; complete remaining service action negatives under JW-166.</x:v>
      </x:c>
    </x:row>
    <x:row r="122">
      <x:c r="A122" s="135" t="str">
        <x:v>JW-118</x:v>
      </x:c>
      <x:c r="B122" s="135" t="str">
        <x:v>Listing Detail &amp; Contact</x:v>
      </x:c>
      <x:c r="C122" s="135" t="str">
        <x:v>View counting</x:v>
      </x:c>
      <x:c r="D122" s="136" t="str">
        <x:v>Increment listing view after response streaming</x:v>
      </x:c>
      <x:c r="E122" s="136" t="str">
        <x:v>Signed V1</x:v>
      </x:c>
      <x:c r="F122" s="136" t="str">
        <x:v>Partially Implemented</x:v>
      </x:c>
      <x:c r="G122" s="137" t="n">
        <x:v>0.65</x:v>
      </x:c>
      <x:c r="H122" s="136" t="str">
        <x:v>Medium</x:v>
      </x:c>
      <x:c r="I122" s="136" t="str">
        <x:v>Stage 3</x:v>
      </x:c>
      <x:c r="J122" s="136" t="str">
        <x:v>Unassigned</x:v>
      </x:c>
      <x:c r="K122" s="136" t="str">
        <x:v>Database</x:v>
      </x:c>
      <x:c r="L122" s="136" t="str">
        <x:v>Human views are counted consistently without blocking response or inflating from owner/bots beyond approved rules.</x:v>
      </x:c>
      <x:c r="M122" s="136" t="str">
        <x:v>Repeated/bot/owner; DB failure; concurrency</x:v>
      </x:c>
      <x:c r="N122" s="136" t="str">
        <x:v>Basic counter exists and explicitly counts crawler hits.</x:v>
      </x:c>
      <x:c r="O122" s="136" t="str">
        <x:v>Define view policy and use daily unique aggregation if needed.</x:v>
      </x:c>
    </x:row>
    <x:row r="123">
      <x:c r="A123" s="135" t="str">
        <x:v>JW-119</x:v>
      </x:c>
      <x:c r="B123" s="135" t="str">
        <x:v>Listing Detail &amp; Contact</x:v>
      </x:c>
      <x:c r="C123" s="135" t="str">
        <x:v>Inactive contact restriction</x:v>
      </x:c>
      <x:c r="D123" s="136" t="str">
        <x:v>Disable contact actions for non-active listings</x:v>
      </x:c>
      <x:c r="E123" s="136" t="str">
        <x:v>Signed V1</x:v>
      </x:c>
      <x:c r="F123" s="136" t="str">
        <x:v>Completed</x:v>
      </x:c>
      <x:c r="G123" s="137" t="n">
        <x:v>1</x:v>
      </x:c>
      <x:c r="H123" s="136" t="str">
        <x:v>Critical</x:v>
      </x:c>
      <x:c r="I123" s="136" t="str">
        <x:v>Stage 1</x:v>
      </x:c>
      <x:c r="J123" s="136" t="str">
        <x:v>Unassigned</x:v>
      </x:c>
      <x:c r="K123" s="136" t="str">
        <x:v>Inactive visibility guard</x:v>
      </x:c>
      <x:c r="L123" s="136" t="str">
        <x:v>No number/WhatsApp/inspection action is available on private/removed states.</x:v>
      </x:c>
      <x:c r="M123" s="136" t="str">
        <x:v>Each inactive status; direct action invocation</x:v>
      </x:c>
      <x:c r="N123" s="136" t="str">
        <x:v>Contact actions and inactive-listing contact restrictions are implemented in current detail routes.</x:v>
      </x:c>
      <x:c r="O123" s="136" t="str">
        <x:v>Retain in final regression and comprehensive browser QA.</x:v>
      </x:c>
    </x:row>
    <x:row r="124">
      <x:c r="A124" s="135" t="str">
        <x:v>JW-120</x:v>
      </x:c>
      <x:c r="B124" s="135" t="str">
        <x:v>Buyer Features</x:v>
      </x:c>
      <x:c r="C124" s="135" t="str">
        <x:v>Favourites persistence</x:v>
      </x:c>
      <x:c r="D124" s="136" t="str">
        <x:v>Save/unsave listing per authenticated user</x:v>
      </x:c>
      <x:c r="E124" s="136" t="str">
        <x:v>Signed V1</x:v>
      </x:c>
      <x:c r="F124" s="136" t="str">
        <x:v>Completed</x:v>
      </x:c>
      <x:c r="G124" s="137" t="n">
        <x:v>1</x:v>
      </x:c>
      <x:c r="H124" s="136" t="str">
        <x:v>High</x:v>
      </x:c>
      <x:c r="I124" s="136" t="str">
        <x:v>Stage 3</x:v>
      </x:c>
      <x:c r="J124" s="136" t="str">
        <x:v>Unassigned</x:v>
      </x:c>
      <x:c r="K124" s="136" t="str">
        <x:v>saved_listings table</x:v>
      </x:c>
      <x:c r="L124" s="136" t="str">
        <x:v>Save is idempotent, owner-specific and rejects unavailable listings.</x:v>
      </x:c>
      <x:c r="M124" s="136" t="str">
        <x:v>Add/remove/duplicate; auth; removed listing</x:v>
      </x:c>
      <x:c r="N124" s="136" t="str">
        <x:v>Buyer discovery package implements favourites, recently viewed, comparison and saved-search management.</x:v>
      </x:c>
      <x:c r="O124" s="136" t="str">
        <x:v>Retain in final regression and comprehensive browser QA.</x:v>
      </x:c>
    </x:row>
    <x:row r="125">
      <x:c r="A125" s="135" t="str">
        <x:v>JW-121</x:v>
      </x:c>
      <x:c r="B125" s="135" t="str">
        <x:v>Buyer Features</x:v>
      </x:c>
      <x:c r="C125" s="135" t="str">
        <x:v>Favourite controls</x:v>
      </x:c>
      <x:c r="D125" s="136" t="str">
        <x:v>Heart action on cards and detail pages</x:v>
      </x:c>
      <x:c r="E125" s="136" t="str">
        <x:v>Signed V1</x:v>
      </x:c>
      <x:c r="F125" s="136" t="str">
        <x:v>Completed</x:v>
      </x:c>
      <x:c r="G125" s="137" t="n">
        <x:v>1</x:v>
      </x:c>
      <x:c r="H125" s="136" t="str">
        <x:v>High</x:v>
      </x:c>
      <x:c r="I125" s="136" t="str">
        <x:v>Stage 3</x:v>
      </x:c>
      <x:c r="J125" s="136" t="str">
        <x:v>Unassigned</x:v>
      </x:c>
      <x:c r="K125" s="136" t="str">
        <x:v>Favourites persistence</x:v>
      </x:c>
      <x:c r="L125" s="136" t="str">
        <x:v>Control reflects saved state, works by keyboard and handles login redirect/error.</x:v>
      </x:c>
      <x:c r="M125" s="136" t="str">
        <x:v>Card/detail; signed-out/in; optimistic failure</x:v>
      </x:c>
      <x:c r="N125" s="136" t="str">
        <x:v>Buyer discovery package implements favourites, recently viewed, comparison and saved-search management.</x:v>
      </x:c>
      <x:c r="O125" s="136" t="str">
        <x:v>Retain in final regression and comprehensive browser QA.</x:v>
      </x:c>
    </x:row>
    <x:row r="126">
      <x:c r="A126" s="135" t="str">
        <x:v>JW-122</x:v>
      </x:c>
      <x:c r="B126" s="135" t="str">
        <x:v>Buyer Features</x:v>
      </x:c>
      <x:c r="C126" s="135" t="str">
        <x:v>Saved listings page</x:v>
      </x:c>
      <x:c r="D126" s="136" t="str">
        <x:v>Account page listing favourites</x:v>
      </x:c>
      <x:c r="E126" s="136" t="str">
        <x:v>Signed V1</x:v>
      </x:c>
      <x:c r="F126" s="136" t="str">
        <x:v>Completed</x:v>
      </x:c>
      <x:c r="G126" s="137" t="n">
        <x:v>1</x:v>
      </x:c>
      <x:c r="H126" s="136" t="str">
        <x:v>Medium</x:v>
      </x:c>
      <x:c r="I126" s="136" t="str">
        <x:v>Stage 3</x:v>
      </x:c>
      <x:c r="J126" s="136" t="str">
        <x:v>Unassigned</x:v>
      </x:c>
      <x:c r="K126" s="136" t="str">
        <x:v>Favourites persistence</x:v>
      </x:c>
      <x:c r="L126" s="136" t="str">
        <x:v>Shows current saved listings, removes unavailable items appropriately and supports empty state.</x:v>
      </x:c>
      <x:c r="M126" s="136" t="str">
        <x:v>Empty/populated/stale; pagination</x:v>
      </x:c>
      <x:c r="N126" s="136" t="str">
        <x:v>Buyer discovery package implements favourites, recently viewed, comparison and saved-search management.</x:v>
      </x:c>
      <x:c r="O126" s="136" t="str">
        <x:v>Retain in final regression and comprehensive browser QA.</x:v>
      </x:c>
    </x:row>
    <x:row r="127">
      <x:c r="A127" s="135" t="str">
        <x:v>JW-123</x:v>
      </x:c>
      <x:c r="B127" s="135" t="str">
        <x:v>Buyer Features</x:v>
      </x:c>
      <x:c r="C127" s="135" t="str">
        <x:v>Recently viewed persistence</x:v>
      </x:c>
      <x:c r="D127" s="136" t="str">
        <x:v>Track recent listing IDs for anonymous and signed-in visitors</x:v>
      </x:c>
      <x:c r="E127" s="136" t="str">
        <x:v>Signed V1</x:v>
      </x:c>
      <x:c r="F127" s="136" t="str">
        <x:v>Completed</x:v>
      </x:c>
      <x:c r="G127" s="137" t="n">
        <x:v>1</x:v>
      </x:c>
      <x:c r="H127" s="136" t="str">
        <x:v>Medium</x:v>
      </x:c>
      <x:c r="I127" s="136" t="str">
        <x:v>Stage 3</x:v>
      </x:c>
      <x:c r="J127" s="136" t="str">
        <x:v>Unassigned</x:v>
      </x:c>
      <x:c r="K127" s="136" t="str">
        <x:v>Privacy/retention design</x:v>
      </x:c>
      <x:c r="L127" s="136" t="str">
        <x:v>History is bounded, ordered, consent-compliant and excludes inaccessible listings.</x:v>
      </x:c>
      <x:c r="M127" s="136" t="str">
        <x:v>Anonymous/auth merge; stale/removed; limit</x:v>
      </x:c>
      <x:c r="N127" s="136" t="str">
        <x:v>Buyer discovery package implements favourites, recently viewed, comparison and saved-search management.</x:v>
      </x:c>
      <x:c r="O127" s="136" t="str">
        <x:v>Retain in final regression and comprehensive browser QA.</x:v>
      </x:c>
    </x:row>
    <x:row r="128">
      <x:c r="A128" s="135" t="str">
        <x:v>JW-124</x:v>
      </x:c>
      <x:c r="B128" s="135" t="str">
        <x:v>Buyer Features</x:v>
      </x:c>
      <x:c r="C128" s="135" t="str">
        <x:v>Recently viewed UI</x:v>
      </x:c>
      <x:c r="D128" s="136" t="str">
        <x:v>Conditional homepage/detail row</x:v>
      </x:c>
      <x:c r="E128" s="136" t="str">
        <x:v>Signed V1</x:v>
      </x:c>
      <x:c r="F128" s="136" t="str">
        <x:v>Completed</x:v>
      </x:c>
      <x:c r="G128" s="137" t="n">
        <x:v>1</x:v>
      </x:c>
      <x:c r="H128" s="136" t="str">
        <x:v>Medium</x:v>
      </x:c>
      <x:c r="I128" s="136" t="str">
        <x:v>Stage 3</x:v>
      </x:c>
      <x:c r="J128" s="136" t="str">
        <x:v>Unassigned</x:v>
      </x:c>
      <x:c r="K128" s="136" t="str">
        <x:v>Recently viewed persistence</x:v>
      </x:c>
      <x:c r="L128" s="136" t="str">
        <x:v>Section hides for new users and renders compact valid cards when populated.</x:v>
      </x:c>
      <x:c r="M128" s="136" t="str">
        <x:v>Empty/populated/mobile; stale data</x:v>
      </x:c>
      <x:c r="N128" s="136" t="str">
        <x:v>Buyer discovery package implements favourites, recently viewed, comparison and saved-search management.</x:v>
      </x:c>
      <x:c r="O128" s="136" t="str">
        <x:v>Retain in final regression and comprehensive browser QA.</x:v>
      </x:c>
    </x:row>
    <x:row r="129">
      <x:c r="A129" s="135" t="str">
        <x:v>JW-125</x:v>
      </x:c>
      <x:c r="B129" s="135" t="str">
        <x:v>Buyer Features</x:v>
      </x:c>
      <x:c r="C129" s="135" t="str">
        <x:v>Vehicle comparison selection</x:v>
      </x:c>
      <x:c r="D129" s="136" t="str">
        <x:v>Add/remove 2-3 compatible vehicle listings</x:v>
      </x:c>
      <x:c r="E129" s="136" t="str">
        <x:v>Signed V1</x:v>
      </x:c>
      <x:c r="F129" s="136" t="str">
        <x:v>Completed</x:v>
      </x:c>
      <x:c r="G129" s="137" t="n">
        <x:v>1</x:v>
      </x:c>
      <x:c r="H129" s="136" t="str">
        <x:v>High</x:v>
      </x:c>
      <x:c r="I129" s="136" t="str">
        <x:v>Stage 3</x:v>
      </x:c>
      <x:c r="J129" s="136" t="str">
        <x:v>Unassigned</x:v>
      </x:c>
      <x:c r="K129" s="136" t="str">
        <x:v>Comparison rules</x:v>
      </x:c>
      <x:c r="L129" s="136" t="str">
        <x:v>Only comparable listings are selected; limit and persistence are clear.</x:v>
      </x:c>
      <x:c r="M129" s="136" t="str">
        <x:v>2/3/4 items; cross-vertical; removed listing</x:v>
      </x:c>
      <x:c r="N129" s="136" t="str">
        <x:v>Buyer discovery package implements favourites, recently viewed, comparison and saved-search management.</x:v>
      </x:c>
      <x:c r="O129" s="136" t="str">
        <x:v>Retain in final regression and comprehensive browser QA.</x:v>
      </x:c>
    </x:row>
    <x:row r="130">
      <x:c r="A130" s="135" t="str">
        <x:v>JW-126</x:v>
      </x:c>
      <x:c r="B130" s="135" t="str">
        <x:v>Buyer Features</x:v>
      </x:c>
      <x:c r="C130" s="135" t="str">
        <x:v>Comparison page</x:v>
      </x:c>
      <x:c r="D130" s="136" t="str">
        <x:v>Side-by-side specs for 2-3 listings</x:v>
      </x:c>
      <x:c r="E130" s="136" t="str">
        <x:v>Signed V1</x:v>
      </x:c>
      <x:c r="F130" s="136" t="str">
        <x:v>Completed</x:v>
      </x:c>
      <x:c r="G130" s="137" t="n">
        <x:v>1</x:v>
      </x:c>
      <x:c r="H130" s="136" t="str">
        <x:v>High</x:v>
      </x:c>
      <x:c r="I130" s="136" t="str">
        <x:v>Stage 3</x:v>
      </x:c>
      <x:c r="J130" s="136" t="str">
        <x:v>Unassigned</x:v>
      </x:c>
      <x:c r="K130" s="136" t="str">
        <x:v>Comparison selection</x:v>
      </x:c>
      <x:c r="L130" s="136" t="str">
        <x:v>Differences are readable on desktop/mobile and missing values are explicit.</x:v>
      </x:c>
      <x:c r="M130" s="136" t="str">
        <x:v>Different specs; responsive; share/back navigation</x:v>
      </x:c>
      <x:c r="N130" s="136" t="str">
        <x:v>Buyer discovery package implements favourites, recently viewed, comparison and saved-search management.</x:v>
      </x:c>
      <x:c r="O130" s="136" t="str">
        <x:v>Retain in final regression and comprehensive browser QA.</x:v>
      </x:c>
    </x:row>
    <x:row r="131">
      <x:c r="A131" s="135" t="str">
        <x:v>JW-127</x:v>
      </x:c>
      <x:c r="B131" s="135" t="str">
        <x:v>Buyer Features</x:v>
      </x:c>
      <x:c r="C131" s="135" t="str">
        <x:v>Saved search creation</x:v>
      </x:c>
      <x:c r="D131" s="136" t="str">
        <x:v>Persist current parsed filters for signed-in user</x:v>
      </x:c>
      <x:c r="E131" s="136" t="str">
        <x:v>Signed V1</x:v>
      </x:c>
      <x:c r="F131" s="136" t="str">
        <x:v>Completed</x:v>
      </x:c>
      <x:c r="G131" s="137" t="n">
        <x:v>1</x:v>
      </x:c>
      <x:c r="H131" s="136" t="str">
        <x:v>High</x:v>
      </x:c>
      <x:c r="I131" s="136" t="str">
        <x:v>Stage 3</x:v>
      </x:c>
      <x:c r="J131" s="136" t="str">
        <x:v>Unassigned</x:v>
      </x:c>
      <x:c r="K131" s="136" t="str">
        <x:v>saved_searches table</x:v>
      </x:c>
      <x:c r="L131" s="136" t="str">
        <x:v>Saved filters replay exactly and duplicates are handled clearly.</x:v>
      </x:c>
      <x:c r="M131" s="136" t="str">
        <x:v>All verticals; complex facets; auth; duplicate</x:v>
      </x:c>
      <x:c r="N131" s="136" t="str">
        <x:v>Buyer discovery package implements favourites, recently viewed, comparison and saved-search management.</x:v>
      </x:c>
      <x:c r="O131" s="136" t="str">
        <x:v>Retain in final regression and comprehensive browser QA.</x:v>
      </x:c>
    </x:row>
    <x:row r="132">
      <x:c r="A132" s="135" t="str">
        <x:v>JW-128</x:v>
      </x:c>
      <x:c r="B132" s="135" t="str">
        <x:v>Buyer Features</x:v>
      </x:c>
      <x:c r="C132" s="135" t="str">
        <x:v>Saved search management</x:v>
      </x:c>
      <x:c r="D132" s="136" t="str">
        <x:v>List, rename, change frequency and delete saved searches</x:v>
      </x:c>
      <x:c r="E132" s="136" t="str">
        <x:v>Signed V1</x:v>
      </x:c>
      <x:c r="F132" s="136" t="str">
        <x:v>Completed</x:v>
      </x:c>
      <x:c r="G132" s="137" t="n">
        <x:v>1</x:v>
      </x:c>
      <x:c r="H132" s="136" t="str">
        <x:v>Medium</x:v>
      </x:c>
      <x:c r="I132" s="136" t="str">
        <x:v>Stage 3</x:v>
      </x:c>
      <x:c r="J132" s="136" t="str">
        <x:v>Unassigned</x:v>
      </x:c>
      <x:c r="K132" s="136" t="str">
        <x:v>Saved search creation</x:v>
      </x:c>
      <x:c r="L132" s="136" t="str">
        <x:v>User controls only their saved searches and sees current match links.</x:v>
      </x:c>
      <x:c r="M132" s="136" t="str">
        <x:v>Ownership; edit/delete; empty state</x:v>
      </x:c>
      <x:c r="N132" s="136" t="str">
        <x:v>Buyer discovery package implements favourites, recently viewed, comparison and saved-search management.</x:v>
      </x:c>
      <x:c r="O132" s="136" t="str">
        <x:v>Retain in final regression and comprehensive browser QA.</x:v>
      </x:c>
    </x:row>
    <x:row r="133">
      <x:c r="A133" s="135" t="str">
        <x:v>JW-129</x:v>
      </x:c>
      <x:c r="B133" s="135" t="str">
        <x:v>Buyer Features</x:v>
      </x:c>
      <x:c r="C133" s="135" t="str">
        <x:v>Matching-listing alerts</x:v>
      </x:c>
      <x:c r="D133" s="136" t="str">
        <x:v>Email notifications for new matches</x:v>
      </x:c>
      <x:c r="E133" s="136" t="str">
        <x:v>Signed V1</x:v>
      </x:c>
      <x:c r="F133" s="136" t="str">
        <x:v>Partially Implemented</x:v>
      </x:c>
      <x:c r="G133" s="137" t="n">
        <x:v>0.4</x:v>
      </x:c>
      <x:c r="H133" s="136" t="str">
        <x:v>High</x:v>
      </x:c>
      <x:c r="I133" s="136" t="str">
        <x:v>Stage 3</x:v>
      </x:c>
      <x:c r="J133" s="136" t="str">
        <x:v>Backend</x:v>
      </x:c>
      <x:c r="K133" s="136" t="str">
        <x:v>Email provider and saved searches</x:v>
      </x:c>
      <x:c r="L133" s="136" t="str">
        <x:v>New matching listings trigger consented, deduplicated alerts with unsubscribe/control.</x:v>
      </x:c>
      <x:c r="M133" s="136" t="str">
        <x:v>Match accuracy; frequency; duplicates; delivery failure; unsubscribe</x:v>
      </x:c>
      <x:c r="N133" s="136" t="str">
        <x:v>Reviewed estimate 40%: saved-search alert preferences and authenticated matching cron exist; unique outbox records deduplicate listing/search pairs. No delivery worker/template or delivered_at updater was found. Matching currently reads the first result page, so overflow and retry correctness need acceptance.</x:v>
      </x:c>
      <x:c r="O133" s="136" t="str">
        <x:v>Implement delivery worker, email template/retry/control flow and complete matching/overflow/deduplication tests, then configure provider and scheduler.</x:v>
      </x:c>
    </x:row>
    <x:row r="134">
      <x:c r="A134" s="135" t="str">
        <x:v>JW-130</x:v>
      </x:c>
      <x:c r="B134" s="135" t="str">
        <x:v>Dealer Features</x:v>
      </x:c>
      <x:c r="C134" s="135" t="str">
        <x:v>Dealer registration</x:v>
      </x:c>
      <x:c r="D134" s="136" t="str">
        <x:v>Create business profile with city, address, landline, WhatsApp and about</x:v>
      </x:c>
      <x:c r="E134" s="136" t="str">
        <x:v>Signed V1</x:v>
      </x:c>
      <x:c r="F134" s="136" t="str">
        <x:v>Completed</x:v>
      </x:c>
      <x:c r="G134" s="137" t="n">
        <x:v>1</x:v>
      </x:c>
      <x:c r="H134" s="136" t="str">
        <x:v>High</x:v>
      </x:c>
      <x:c r="I134" s="136" t="str">
        <x:v>Stage 4</x:v>
      </x:c>
      <x:c r="J134" s="136" t="str">
        <x:v>Unassigned</x:v>
      </x:c>
      <x:c r="K134" s="136" t="str">
        <x:v>Authenticated account</x:v>
      </x:c>
      <x:c r="L134" s="136" t="str">
        <x:v>One dealer profile per user; validation and unique permanent slug work.</x:v>
      </x:c>
      <x:c r="M134" s="136" t="str">
        <x:v>Happy path; duplicate user; duplicate slug; invalid data</x:v>
      </x:c>
      <x:c r="N134" s="136" t="str">
        <x:v>Dealer registration and owner settings/logo are implemented. Desktop/mobile acceptance creates a dealer/dashboard and verifies account/dealer write limits. Duplicate-slug edge acceptance remains in T-031.</x:v>
      </x:c>
      <x:c r="O134" s="136" t="str">
        <x:v>Complete remaining registration edge cases and live provider acceptance.</x:v>
      </x:c>
    </x:row>
    <x:row r="135">
      <x:c r="A135" s="135" t="str">
        <x:v>JW-131</x:v>
      </x:c>
      <x:c r="B135" s="135" t="str">
        <x:v>Dealer Features</x:v>
      </x:c>
      <x:c r="C135" s="135" t="str">
        <x:v>Dealer public directory</x:v>
      </x:c>
      <x:c r="D135" s="136" t="str">
        <x:v>Group dealers by city with live inventory counts</x:v>
      </x:c>
      <x:c r="E135" s="136" t="str">
        <x:v>Signed V1</x:v>
      </x:c>
      <x:c r="F135" s="136" t="str">
        <x:v>Partially Implemented</x:v>
      </x:c>
      <x:c r="G135" s="137" t="n">
        <x:v>0.9</x:v>
      </x:c>
      <x:c r="H135" s="136" t="str">
        <x:v>High</x:v>
      </x:c>
      <x:c r="I135" s="136" t="str">
        <x:v>Stage 4</x:v>
      </x:c>
      <x:c r="J135" s="136" t="str">
        <x:v>QA</x:v>
      </x:c>
      <x:c r="K135" s="136" t="str">
        <x:v>Dealer data</x:v>
      </x:c>
      <x:c r="L135" s="136" t="str">
        <x:v>Page labeling matches whether it lists all or only verified dealers and counts are accurate.</x:v>
      </x:c>
      <x:c r="M135" s="136" t="str">
        <x:v>Verified/unverified; zero listings; pagination</x:v>
      </x:c>
      <x:c r="N135" s="136" t="str">
        <x:v>Directory/storefront code and route/accessibility checks pass; admin verification/revocation changes public badges with DB audit assertions. Exact inventory-count, mixed-state and pagination checks remain open.</x:v>
      </x:c>
      <x:c r="O135" s="136" t="str">
        <x:v>Complete T-032 with deterministic mixed-status dealer inventory.</x:v>
      </x:c>
    </x:row>
    <x:row r="136">
      <x:c r="A136" s="135" t="str">
        <x:v>JW-132</x:v>
      </x:c>
      <x:c r="B136" s="135" t="str">
        <x:v>Dealer Features</x:v>
      </x:c>
      <x:c r="C136" s="135" t="str">
        <x:v>Dealer storefront</x:v>
      </x:c>
      <x:c r="D136" s="136" t="str">
        <x:v>Public dealer page with profile and active inventory</x:v>
      </x:c>
      <x:c r="E136" s="136" t="str">
        <x:v>Signed V1</x:v>
      </x:c>
      <x:c r="F136" s="136" t="str">
        <x:v>Completed</x:v>
      </x:c>
      <x:c r="G136" s="137" t="n">
        <x:v>1</x:v>
      </x:c>
      <x:c r="H136" s="136" t="str">
        <x:v>High</x:v>
      </x:c>
      <x:c r="I136" s="136" t="str">
        <x:v>Stage 4</x:v>
      </x:c>
      <x:c r="J136" s="136" t="str">
        <x:v>Unassigned</x:v>
      </x:c>
      <x:c r="K136" s="136" t="str">
        <x:v>Dealer listings</x:v>
      </x:c>
      <x:c r="L136" s="136" t="str">
        <x:v>Only active inventory is shown with correct business/location information.</x:v>
      </x:c>
      <x:c r="M136" s="136" t="str">
        <x:v>Unknown slug; empty inventory; pagination; mobile</x:v>
      </x:c>
      <x:c r="N136" s="136" t="str">
        <x:v>Storefront queries active listings across verticals and passes row.vertical to ListingCard, supporting cars, bikes and parts. Public route/accessibility checks pass; deterministic count and pagination acceptance remains in T-032.</x:v>
      </x:c>
      <x:c r="O136" s="136" t="str">
        <x:v>Verify mixed-vertical inventory/counts and pagination in T-032; no bike/parts extension is required.</x:v>
      </x:c>
    </x:row>
    <x:row r="137">
      <x:c r="A137" s="135" t="str">
        <x:v>JW-133</x:v>
      </x:c>
      <x:c r="B137" s="135" t="str">
        <x:v>Dealer Features</x:v>
      </x:c>
      <x:c r="C137" s="135" t="str">
        <x:v>Dealer dashboard</x:v>
      </x:c>
      <x:c r="D137" s="136" t="str">
        <x:v>Basic counts for active, pending, sold, leads and views</x:v>
      </x:c>
      <x:c r="E137" s="136" t="str">
        <x:v>Signed V1</x:v>
      </x:c>
      <x:c r="F137" s="136" t="str">
        <x:v>Completed</x:v>
      </x:c>
      <x:c r="G137" s="137" t="n">
        <x:v>1</x:v>
      </x:c>
      <x:c r="H137" s="136" t="str">
        <x:v>High</x:v>
      </x:c>
      <x:c r="I137" s="136" t="str">
        <x:v>Stage 4</x:v>
      </x:c>
      <x:c r="J137" s="136" t="str">
        <x:v>Unassigned</x:v>
      </x:c>
      <x:c r="K137" s="136" t="str">
        <x:v>Dealer relation</x:v>
      </x:c>
      <x:c r="L137" s="136" t="str">
        <x:v>Only dealer owner accesses correct aggregated counts.</x:v>
      </x:c>
      <x:c r="M137" s="136" t="str">
        <x:v>Dealer/non-dealer; empty; many listings</x:v>
      </x:c>
      <x:c r="N137" s="136" t="str">
        <x:v>Implemented.</x:v>
      </x:c>
      <x:c r="O137" s="136" t="str">
        <x:v>Update pending terminology after instant-publish correction.</x:v>
      </x:c>
    </x:row>
    <x:row r="138">
      <x:c r="A138" s="135" t="str">
        <x:v>JW-134</x:v>
      </x:c>
      <x:c r="B138" s="135" t="str">
        <x:v>Dealer Features</x:v>
      </x:c>
      <x:c r="C138" s="135" t="str">
        <x:v>Dealer profile editing</x:v>
      </x:c>
      <x:c r="D138" s="136" t="str">
        <x:v>Update business details, contact, about and logo</x:v>
      </x:c>
      <x:c r="E138" s="136" t="str">
        <x:v>Signed V1</x:v>
      </x:c>
      <x:c r="F138" s="136" t="str">
        <x:v>Completed</x:v>
      </x:c>
      <x:c r="G138" s="137" t="n">
        <x:v>1</x:v>
      </x:c>
      <x:c r="H138" s="136" t="str">
        <x:v>High</x:v>
      </x:c>
      <x:c r="I138" s="136" t="str">
        <x:v>Stage 4</x:v>
      </x:c>
      <x:c r="J138" s="136" t="str">
        <x:v>Unassigned</x:v>
      </x:c>
      <x:c r="K138" s="136" t="str">
        <x:v>Dealer dashboard and uploads</x:v>
      </x:c>
      <x:c r="L138" s="136" t="str">
        <x:v>Only dealer owner/admin can update; slug policy and validation are preserved.</x:v>
      </x:c>
      <x:c r="M138" s="136" t="str">
        <x:v>Owner/non-owner; duplicate fields; image replacement</x:v>
      </x:c>
      <x:c r="N138" s="136" t="str">
        <x:v>Dealer settings, logo, manual verification/revocation, badges and inventory management are implemented.</x:v>
      </x:c>
      <x:c r="O138" s="136" t="str">
        <x:v>Retain in final regression and comprehensive browser QA.</x:v>
      </x:c>
    </x:row>
    <x:row r="139">
      <x:c r="A139" s="135" t="str">
        <x:v>JW-135</x:v>
      </x:c>
      <x:c r="B139" s="135" t="str">
        <x:v>Dealer Features</x:v>
      </x:c>
      <x:c r="C139" s="135" t="str">
        <x:v>Dealer logo upload</x:v>
      </x:c>
      <x:c r="D139" s="136" t="str">
        <x:v>Securely upload and display showroom logo</x:v>
      </x:c>
      <x:c r="E139" s="136" t="str">
        <x:v>Signed V1</x:v>
      </x:c>
      <x:c r="F139" s="136" t="str">
        <x:v>Completed</x:v>
      </x:c>
      <x:c r="G139" s="137" t="n">
        <x:v>1</x:v>
      </x:c>
      <x:c r="H139" s="136" t="str">
        <x:v>Medium</x:v>
      </x:c>
      <x:c r="I139" s="136" t="str">
        <x:v>Stage 4</x:v>
      </x:c>
      <x:c r="J139" s="136" t="str">
        <x:v>Unassigned</x:v>
      </x:c>
      <x:c r="K139" s="136" t="str">
        <x:v>Dealer edit and media ownership</x:v>
      </x:c>
      <x:c r="L139" s="136" t="str">
        <x:v>Logo is owner-controlled, validated and displayed consistently.</x:v>
      </x:c>
      <x:c r="M139" s="136" t="str">
        <x:v>Upload/replace/delete; dimensions; malicious files</x:v>
      </x:c>
      <x:c r="N139" s="136" t="str">
        <x:v>Dealer settings, logo, manual verification/revocation, badges and inventory management are implemented.</x:v>
      </x:c>
      <x:c r="O139" s="136" t="str">
        <x:v>Retain in final regression and comprehensive browser QA.</x:v>
      </x:c>
    </x:row>
    <x:row r="140">
      <x:c r="A140" s="135" t="str">
        <x:v>JW-136</x:v>
      </x:c>
      <x:c r="B140" s="135" t="str">
        <x:v>Dealer Features</x:v>
      </x:c>
      <x:c r="C140" s="135" t="str">
        <x:v>Manual dealer verification</x:v>
      </x:c>
      <x:c r="D140" s="136" t="str">
        <x:v>Admin approves, revokes and records dealer verification</x:v>
      </x:c>
      <x:c r="E140" s="136" t="str">
        <x:v>Signed V1</x:v>
      </x:c>
      <x:c r="F140" s="136" t="str">
        <x:v>Completed</x:v>
      </x:c>
      <x:c r="G140" s="137" t="n">
        <x:v>1</x:v>
      </x:c>
      <x:c r="H140" s="136" t="str">
        <x:v>Critical</x:v>
      </x:c>
      <x:c r="I140" s="136" t="str">
        <x:v>Stage 4</x:v>
      </x:c>
      <x:c r="J140" s="136" t="str">
        <x:v>Unassigned</x:v>
      </x:c>
      <x:c r="K140" s="136" t="str">
        <x:v>Admin controls</x:v>
      </x:c>
      <x:c r="L140" s="136" t="str">
        <x:v>Only admin changes verifiedAt; badge updates everywhere; reason/audit is recorded.</x:v>
      </x:c>
      <x:c r="M140" s="136" t="str">
        <x:v>Approve/revoke; non-admin; homepage/directory/detail badge</x:v>
      </x:c>
      <x:c r="N140" s="136" t="str">
        <x:v>Manual dealer verification is implemented. Desktop/mobile Chromium now confirms admin grant and reasoned revocation, changed public verified badge, and new append-only audit entries in isolated PostgreSQL.</x:v>
      </x:c>
      <x:c r="O140" s="136" t="str">
        <x:v>Final live administrator review can be included in launch acceptance; provider/hosting setup is separate.</x:v>
      </x:c>
    </x:row>
    <x:row r="141">
      <x:c r="A141" s="135" t="str">
        <x:v>JW-137</x:v>
      </x:c>
      <x:c r="B141" s="135" t="str">
        <x:v>Dealer Features</x:v>
      </x:c>
      <x:c r="C141" s="135" t="str">
        <x:v>Verified badge consistency</x:v>
      </x:c>
      <x:c r="D141" s="136" t="str">
        <x:v>Badge appears only for verified dealers across cards, homepage, directory and storefront</x:v>
      </x:c>
      <x:c r="E141" s="136" t="str">
        <x:v>Signed V1</x:v>
      </x:c>
      <x:c r="F141" s="136" t="str">
        <x:v>Completed</x:v>
      </x:c>
      <x:c r="G141" s="137" t="n">
        <x:v>1</x:v>
      </x:c>
      <x:c r="H141" s="136" t="str">
        <x:v>High</x:v>
      </x:c>
      <x:c r="I141" s="136" t="str">
        <x:v>Stage 4</x:v>
      </x:c>
      <x:c r="J141" s="136" t="str">
        <x:v>Unassigned</x:v>
      </x:c>
      <x:c r="K141" s="136" t="str">
        <x:v>Verification workflow</x:v>
      </x:c>
      <x:c r="L141" s="136" t="str">
        <x:v>All surfaces use the same verifiedAt source and never infer verification from seller type.</x:v>
      </x:c>
      <x:c r="M141" s="136" t="str">
        <x:v>Verified/unverified across every surface</x:v>
      </x:c>
      <x:c r="N141" s="136" t="str">
        <x:v>Dealer settings, logo, manual verification/revocation, badges and inventory management are implemented.</x:v>
      </x:c>
      <x:c r="O141" s="136" t="str">
        <x:v>Retain in final regression and comprehensive browser QA.</x:v>
      </x:c>
    </x:row>
    <x:row r="142">
      <x:c r="A142" s="135" t="str">
        <x:v>JW-138</x:v>
      </x:c>
      <x:c r="B142" s="135" t="str">
        <x:v>Dealer Features</x:v>
      </x:c>
      <x:c r="C142" s="135" t="str">
        <x:v>Inventory management</x:v>
      </x:c>
      <x:c r="D142" s="136" t="str">
        <x:v>Dealer uses listing CRUD for cars, bikes and parts</x:v>
      </x:c>
      <x:c r="E142" s="136" t="str">
        <x:v>Signed V1</x:v>
      </x:c>
      <x:c r="F142" s="136" t="str">
        <x:v>Completed</x:v>
      </x:c>
      <x:c r="G142" s="137" t="n">
        <x:v>1</x:v>
      </x:c>
      <x:c r="H142" s="136" t="str">
        <x:v>Critical</x:v>
      </x:c>
      <x:c r="I142" s="136" t="str">
        <x:v>Stage 4</x:v>
      </x:c>
      <x:c r="J142" s="136" t="str">
        <x:v>Unassigned</x:v>
      </x:c>
      <x:c r="K142" s="136" t="str">
        <x:v>All listing CRUD</x:v>
      </x:c>
      <x:c r="L142" s="136" t="str">
        <x:v>Dealer can create/edit/delete/mark sold for every permitted vertical.</x:v>
      </x:c>
      <x:c r="M142" s="136" t="str">
        <x:v>Ownership; verticals; storefront reflection</x:v>
      </x:c>
      <x:c r="N142" s="136" t="str">
        <x:v>Dealer settings, logo, manual verification/revocation, badges and inventory management are implemented.</x:v>
      </x:c>
      <x:c r="O142" s="136" t="str">
        <x:v>Retain in final regression and comprehensive browser QA.</x:v>
      </x:c>
    </x:row>
    <x:row r="143">
      <x:c r="A143" s="135" t="str">
        <x:v>JW-139</x:v>
      </x:c>
      <x:c r="B143" s="135" t="str">
        <x:v>Assistance Services</x:v>
      </x:c>
      <x:c r="C143" s="135" t="str">
        <x:v>Vehicle inspection request form</x:v>
      </x:c>
      <x:c r="D143" s="136" t="str">
        <x:v>Signed-in user submits city, address, phone and optional listing reference</x:v>
      </x:c>
      <x:c r="E143" s="136" t="str">
        <x:v>Signed V1</x:v>
      </x:c>
      <x:c r="F143" s="136" t="str">
        <x:v>Completed</x:v>
      </x:c>
      <x:c r="G143" s="137" t="n">
        <x:v>1</x:v>
      </x:c>
      <x:c r="H143" s="136" t="str">
        <x:v>High</x:v>
      </x:c>
      <x:c r="I143" s="136" t="str">
        <x:v>Stage 5</x:v>
      </x:c>
      <x:c r="J143" s="136" t="str">
        <x:v>Unassigned</x:v>
      </x:c>
      <x:c r="K143" s="136" t="str">
        <x:v>Authentication and cities</x:v>
      </x:c>
      <x:c r="L143" s="136" t="str">
        <x:v>Valid request receives unique reference and persists for manual follow-up.</x:v>
      </x:c>
      <x:c r="M143" s="136" t="str">
        <x:v>Auth redirect; validation; phone normalization; listing/no listing</x:v>
      </x:c>
      <x:c r="N143" s="136" t="str">
        <x:v>Standalone and linked inspection requests, customer updates and append-only events pass desktop/mobile browser and isolated DB acceptance. A daily per-account/source request limit now blocks excess submissions without a row.</x:v>
      </x:c>
      <x:c r="O143" s="136" t="str">
        <x:v>Invalid lifecycle transitions and final live browser acceptance remain open.</x:v>
      </x:c>
    </x:row>
    <x:row r="144">
      <x:c r="A144" s="135" t="str">
        <x:v>JW-140</x:v>
      </x:c>
      <x:c r="B144" s="135" t="str">
        <x:v>Assistance Services</x:v>
      </x:c>
      <x:c r="C144" s="135" t="str">
        <x:v>Inspection request status</x:v>
      </x:c>
      <x:c r="D144" s="136" t="str">
        <x:v>Requested, contacted and cancelled lifecycle</x:v>
      </x:c>
      <x:c r="E144" s="136" t="str">
        <x:v>Signed V1</x:v>
      </x:c>
      <x:c r="F144" s="136" t="str">
        <x:v>Completed</x:v>
      </x:c>
      <x:c r="G144" s="137" t="n">
        <x:v>1</x:v>
      </x:c>
      <x:c r="H144" s="136" t="str">
        <x:v>Medium</x:v>
      </x:c>
      <x:c r="I144" s="136" t="str">
        <x:v>Stage 5</x:v>
      </x:c>
      <x:c r="J144" s="136" t="str">
        <x:v>Unassigned</x:v>
      </x:c>
      <x:c r="K144" s="136" t="str">
        <x:v>Admin inspection management</x:v>
      </x:c>
      <x:c r="L144" s="136" t="str">
        <x:v>Staff can update status with timestamps/notes and requester can see approved status visibility.</x:v>
      </x:c>
      <x:c r="M144" s="136" t="str">
        <x:v>Valid/invalid transitions; admin auth</x:v>
      </x:c>
      <x:c r="N144" s="136" t="str">
        <x:v>Desktop/mobile Chromium and isolated PostgreSQL confirm standalone and car-linked requests, preserved listing reference across sign-in, forged/unavailable reference rejection, initial append-only event and customer-visible admin updates without private notes.</x:v>
      </x:c>
      <x:c r="O144" s="136" t="str">
        <x:v>Invalid lifecycle transitions and final live browser acceptance remain open.</x:v>
      </x:c>
    </x:row>
    <x:row r="145">
      <x:c r="A145" s="135" t="str">
        <x:v>JW-141</x:v>
      </x:c>
      <x:c r="B145" s="135" t="str">
        <x:v>Assistance Services</x:v>
      </x:c>
      <x:c r="C145" s="135" t="str">
        <x:v>Inspection administration</x:v>
      </x:c>
      <x:c r="D145" s="136" t="str">
        <x:v>View, search, contact and update incoming requests</x:v>
      </x:c>
      <x:c r="E145" s="136" t="str">
        <x:v>Signed V1</x:v>
      </x:c>
      <x:c r="F145" s="136" t="str">
        <x:v>Completed</x:v>
      </x:c>
      <x:c r="G145" s="137" t="n">
        <x:v>1</x:v>
      </x:c>
      <x:c r="H145" s="136" t="str">
        <x:v>High</x:v>
      </x:c>
      <x:c r="I145" s="136" t="str">
        <x:v>Stage 5</x:v>
      </x:c>
      <x:c r="J145" s="136" t="str">
        <x:v>Unassigned</x:v>
      </x:c>
      <x:c r="K145" s="136" t="str">
        <x:v>Admin area</x:v>
      </x:c>
      <x:c r="L145" s="136" t="str">
        <x:v>Authorized staff can manage requests without inspector workforce/scheduling features.</x:v>
      </x:c>
      <x:c r="M145" s="136" t="str">
        <x:v>Admin/non-admin; filtering; status changes</x:v>
      </x:c>
      <x:c r="N145" s="136" t="str">
        <x:v>Structured Sell My Car Assistance request, linked listing and customer-visible follow-up pass desktop/mobile browser and isolated DB acceptance. A daily per-account/source limit now blocks excess submissions without a row.</x:v>
      </x:c>
      <x:c r="O145" s="136" t="str">
        <x:v>Invalid lifecycle transitions and final live browser acceptance remain open.</x:v>
      </x:c>
    </x:row>
    <x:row r="146">
      <x:c r="A146" s="135" t="str">
        <x:v>JW-142</x:v>
      </x:c>
      <x:c r="B146" s="135" t="str">
        <x:v>Assistance Services</x:v>
      </x:c>
      <x:c r="C146" s="135" t="str">
        <x:v>Sell My Car request</x:v>
      </x:c>
      <x:c r="D146" s="136" t="str">
        <x:v>Collect seller/vehicle/contact details for manual assistance</x:v>
      </x:c>
      <x:c r="E146" s="136" t="str">
        <x:v>Signed V1</x:v>
      </x:c>
      <x:c r="F146" s="136" t="str">
        <x:v>Completed</x:v>
      </x:c>
      <x:c r="G146" s="137" t="n">
        <x:v>1</x:v>
      </x:c>
      <x:c r="H146" s="136" t="str">
        <x:v>High</x:v>
      </x:c>
      <x:c r="I146" s="136" t="str">
        <x:v>Stage 5</x:v>
      </x:c>
      <x:c r="J146" s="136" t="str">
        <x:v>Unassigned</x:v>
      </x:c>
      <x:c r="K146" s="136" t="str">
        <x:v>New request schema and route</x:v>
      </x:c>
      <x:c r="L146" s="136" t="str">
        <x:v>User can submit and receive a reference; no unsupported transaction promise.</x:v>
      </x:c>
      <x:c r="M146" s="136" t="str">
        <x:v>Validation; auth/guest decision; duplicate; privacy</x:v>
      </x:c>
      <x:c r="N146" s="136" t="str">
        <x:v>Implemented and verified in desktop/mobile Chromium with isolated PostgreSQL: structured seller request and initial event persist; admin contact update appends a customer message and private note; customer sees the message but never the private note.</x:v>
      </x:c>
      <x:c r="O146" s="136" t="str">
        <x:v>Negative authorization/validation cases and final live browser acceptance remain open.</x:v>
      </x:c>
    </x:row>
    <x:row r="147">
      <x:c r="A147" s="135" t="str">
        <x:v>JW-143</x:v>
      </x:c>
      <x:c r="B147" s="135" t="str">
        <x:v>Assistance Services</x:v>
      </x:c>
      <x:c r="C147" s="135" t="str">
        <x:v>Sell My Car administration</x:v>
      </x:c>
      <x:c r="D147" s="136" t="str">
        <x:v>Admin reviews and updates assistance requests</x:v>
      </x:c>
      <x:c r="E147" s="136" t="str">
        <x:v>Signed V1</x:v>
      </x:c>
      <x:c r="F147" s="136" t="str">
        <x:v>Completed</x:v>
      </x:c>
      <x:c r="G147" s="137" t="n">
        <x:v>1</x:v>
      </x:c>
      <x:c r="H147" s="136" t="str">
        <x:v>High</x:v>
      </x:c>
      <x:c r="I147" s="136" t="str">
        <x:v>Stage 5</x:v>
      </x:c>
      <x:c r="J147" s="136" t="str">
        <x:v>Unassigned</x:v>
      </x:c>
      <x:c r="K147" s="136" t="str">
        <x:v>Sell My Car request</x:v>
      </x:c>
      <x:c r="L147" s="136" t="str">
        <x:v>Authorized staff can manage request status and internal follow-up notes.</x:v>
      </x:c>
      <x:c r="M147" s="136" t="str">
        <x:v>Authorization; status changes; filtering</x:v>
      </x:c>
      <x:c r="N147" s="136" t="str">
        <x:v>Implemented and verified in desktop/mobile Chromium with isolated PostgreSQL: structured seller request and initial event persist; admin contact update appends a customer message and private note; customer sees the message but never the private note.</x:v>
      </x:c>
      <x:c r="O147" s="136" t="str">
        <x:v>Negative authorization/validation cases and final live browser acceptance remain open.</x:v>
      </x:c>
    </x:row>
    <x:row r="148">
      <x:c r="A148" s="135" t="str">
        <x:v>JW-144</x:v>
      </x:c>
      <x:c r="B148" s="135" t="str">
        <x:v>Trust &amp; Moderation</x:v>
      </x:c>
      <x:c r="C148" s="135" t="str">
        <x:v>Report listing</x:v>
      </x:c>
      <x:c r="D148" s="136" t="str">
        <x:v>Authenticated or anonymous visitor reports an ad with reason/comment</x:v>
      </x:c>
      <x:c r="E148" s="136" t="str">
        <x:v>Signed V1</x:v>
      </x:c>
      <x:c r="F148" s="136" t="str">
        <x:v>Completed</x:v>
      </x:c>
      <x:c r="G148" s="137" t="n">
        <x:v>1</x:v>
      </x:c>
      <x:c r="H148" s="136" t="str">
        <x:v>Critical</x:v>
      </x:c>
      <x:c r="I148" s="136" t="str">
        <x:v>Stage 4</x:v>
      </x:c>
      <x:c r="J148" s="136" t="str">
        <x:v>Unassigned</x:v>
      </x:c>
      <x:c r="K148" s="136" t="str">
        <x:v>Listing detail</x:v>
      </x:c>
      <x:c r="L148" s="136" t="str">
        <x:v>Valid report persists; one person cannot repeatedly report the same listing.</x:v>
      </x:c>
      <x:c r="M148" s="136" t="str">
        <x:v>Anonymous/auth; duplicate; invalid listing; all reasons</x:v>
      </x:c>
      <x:c r="N148" s="136" t="str">
        <x:v>Anonymous and signed-in reporting verified in desktop/mobile Chromium. Account-bound duplicate submissions remain one report across sessions; anonymous cookie duplicate also remains one. Invalid or unavailable listing submissions are rejected.</x:v>
      </x:c>
      <x:c r="O148" s="136" t="str">
        <x:v>Add invalid reason/direct-request browser cases and final live acceptance.</x:v>
      </x:c>
    </x:row>
    <x:row r="149">
      <x:c r="A149" s="135" t="str">
        <x:v>JW-145</x:v>
      </x:c>
      <x:c r="B149" s="135" t="str">
        <x:v>Trust &amp; Moderation</x:v>
      </x:c>
      <x:c r="C149" s="135" t="str">
        <x:v>Report abuse protection</x:v>
      </x:c>
      <x:c r="D149" s="136" t="str">
        <x:v>One report per user/anonymous ID and high auto-hide threshold</x:v>
      </x:c>
      <x:c r="E149" s="136" t="str">
        <x:v>Signed V1</x:v>
      </x:c>
      <x:c r="F149" s="136" t="str">
        <x:v>Completed</x:v>
      </x:c>
      <x:c r="G149" s="137" t="n">
        <x:v>1</x:v>
      </x:c>
      <x:c r="H149" s="136" t="str">
        <x:v>Critical</x:v>
      </x:c>
      <x:c r="I149" s="136" t="str">
        <x:v>Stage 4</x:v>
      </x:c>
      <x:c r="J149" s="136" t="str">
        <x:v>Unassigned</x:v>
      </x:c>
      <x:c r="K149" s="136" t="str">
        <x:v>Anonymous cookie</x:v>
      </x:c>
      <x:c r="L149" s="136" t="str">
        <x:v>Competitors cannot quickly remove an ad with duplicate reports.</x:v>
      </x:c>
      <x:c r="M149" s="136" t="str">
        <x:v>Cookie reuse/reset; concurrent reports; threshold</x:v>
      </x:c>
      <x:c r="N149" s="136" t="str">
        <x:v>One report per anonymous cookie/user is enforced by unique indexes; same-cookie duplicate browser test persists only one report. Desktop/mobile Chromium simultaneously submitted fifth/sixth reports after four open reports: exactly five stayed open, one new queue event was written and the ad was held.</x:v>
      </x:c>
      <x:c r="O149" s="136" t="str">
        <x:v>Review distributed anonymous abuse/rate limiting and final live acceptance.</x:v>
      </x:c>
    </x:row>
    <x:row r="150">
      <x:c r="A150" s="135" t="str">
        <x:v>JW-146</x:v>
      </x:c>
      <x:c r="B150" s="135" t="str">
        <x:v>Trust &amp; Moderation</x:v>
      </x:c>
      <x:c r="C150" s="135" t="str">
        <x:v>Automatic report response</x:v>
      </x:c>
      <x:c r="D150" s="136" t="str">
        <x:v>Move listing to review after five open reports</x:v>
      </x:c>
      <x:c r="E150" s="136" t="str">
        <x:v>Signed V1</x:v>
      </x:c>
      <x:c r="F150" s="136" t="str">
        <x:v>Completed</x:v>
      </x:c>
      <x:c r="G150" s="137" t="n">
        <x:v>1</x:v>
      </x:c>
      <x:c r="H150" s="136" t="str">
        <x:v>High</x:v>
      </x:c>
      <x:c r="I150" s="136" t="str">
        <x:v>Stage 4</x:v>
      </x:c>
      <x:c r="J150" s="136" t="str">
        <x:v>Unassigned</x:v>
      </x:c>
      <x:c r="K150" s="136" t="str">
        <x:v>Status model</x:v>
      </x:c>
      <x:c r="L150" s="136" t="str">
        <x:v>Auto-action follows approved Flagged behavior, is logged and avoids false removal.</x:v>
      </x:c>
      <x:c r="M150" s="136" t="str">
        <x:v>Threshold 4/5/6; concurrent reports; sold reason</x:v>
      </x:c>
      <x:c r="N150" s="136" t="str">
        <x:v>Five open reports trigger one audited pending-review safety hold; first four leave the ad public. Reporter receives a confirmation page, and admin approval restores the ad and dismisses reports. Verified desktop/mobile Chromium with isolated PostgreSQL.</x:v>
      </x:c>
      <x:c r="O150" s="136" t="str">
        <x:v>Final live acceptance remains open.</x:v>
      </x:c>
    </x:row>
    <x:row r="151">
      <x:c r="A151" s="135" t="str">
        <x:v>JW-147</x:v>
      </x:c>
      <x:c r="B151" s="135" t="str">
        <x:v>Trust &amp; Moderation</x:v>
      </x:c>
      <x:c r="C151" s="135" t="str">
        <x:v>Moderation queue</x:v>
      </x:c>
      <x:c r="D151" s="136" t="str">
        <x:v>Admin views pending and reported listings</x:v>
      </x:c>
      <x:c r="E151" s="136" t="str">
        <x:v>Signed V1</x:v>
      </x:c>
      <x:c r="F151" s="136" t="str">
        <x:v>Completed</x:v>
      </x:c>
      <x:c r="G151" s="137" t="n">
        <x:v>1</x:v>
      </x:c>
      <x:c r="H151" s="136" t="str">
        <x:v>High</x:v>
      </x:c>
      <x:c r="I151" s="136" t="str">
        <x:v>Stage 4</x:v>
      </x:c>
      <x:c r="J151" s="136" t="str">
        <x:v>Unassigned</x:v>
      </x:c>
      <x:c r="K151" s="136" t="str">
        <x:v>Admin authorization</x:v>
      </x:c>
      <x:c r="L151" s="136" t="str">
        <x:v>Queue displays correct records, report counts and links.</x:v>
      </x:c>
      <x:c r="M151" s="136" t="str">
        <x:v>Empty/populated; limits; non-admin</x:v>
      </x:c>
      <x:c r="N151" s="136" t="str">
        <x:v>Basic moderation page exists.</x:v>
      </x:c>
      <x:c r="O151" s="136" t="str">
        <x:v>Remove routine pre-approval queue after instant-publish correction; retain flagged/reported queue.</x:v>
      </x:c>
    </x:row>
    <x:row r="152">
      <x:c r="A152" s="135" t="str">
        <x:v>JW-148</x:v>
      </x:c>
      <x:c r="B152" s="135" t="str">
        <x:v>Trust &amp; Moderation</x:v>
      </x:c>
      <x:c r="C152" s="135" t="str">
        <x:v>Approve/dismiss</x:v>
      </x:c>
      <x:c r="D152" s="136" t="str">
        <x:v>Admin restores/keeps listing active and dismisses open reports</x:v>
      </x:c>
      <x:c r="E152" s="136" t="str">
        <x:v>Signed V1</x:v>
      </x:c>
      <x:c r="F152" s="136" t="str">
        <x:v>Completed</x:v>
      </x:c>
      <x:c r="G152" s="137" t="n">
        <x:v>1</x:v>
      </x:c>
      <x:c r="H152" s="136" t="str">
        <x:v>High</x:v>
      </x:c>
      <x:c r="I152" s="136" t="str">
        <x:v>Stage 4</x:v>
      </x:c>
      <x:c r="J152" s="136" t="str">
        <x:v>Unassigned</x:v>
      </x:c>
      <x:c r="K152" s="136" t="str">
        <x:v>Moderation queue</x:v>
      </x:c>
      <x:c r="L152" s="136" t="str">
        <x:v>Action updates listing/report statuses and logs the decision atomically.</x:v>
      </x:c>
      <x:c r="M152" s="136" t="str">
        <x:v>Approve reported/pending; repeated; non-admin</x:v>
      </x:c>
      <x:c r="N152" s="136" t="str">
        <x:v>Implemented.</x:v>
      </x:c>
      <x:c r="O152" s="136" t="str">
        <x:v>Rename behavior to match post-publication moderation.</x:v>
      </x:c>
    </x:row>
    <x:row r="153">
      <x:c r="A153" s="135" t="str">
        <x:v>JW-149</x:v>
      </x:c>
      <x:c r="B153" s="135" t="str">
        <x:v>Trust &amp; Moderation</x:v>
      </x:c>
      <x:c r="C153" s="135" t="str">
        <x:v>Remove listing</x:v>
      </x:c>
      <x:c r="D153" s="136" t="str">
        <x:v>Admin removes listing with recorded reason</x:v>
      </x:c>
      <x:c r="E153" s="136" t="str">
        <x:v>Signed V1</x:v>
      </x:c>
      <x:c r="F153" s="136" t="str">
        <x:v>Completed</x:v>
      </x:c>
      <x:c r="G153" s="137" t="n">
        <x:v>1</x:v>
      </x:c>
      <x:c r="H153" s="136" t="str">
        <x:v>Critical</x:v>
      </x:c>
      <x:c r="I153" s="136" t="str">
        <x:v>Stage 4</x:v>
      </x:c>
      <x:c r="J153" s="136" t="str">
        <x:v>Unassigned</x:v>
      </x:c>
      <x:c r="K153" s="136" t="str">
        <x:v>Moderation queue</x:v>
      </x:c>
      <x:c r="L153" s="136" t="str">
        <x:v>Listing stops search/contact; reports are actioned; audit entry persists.</x:v>
      </x:c>
      <x:c r="M153" s="136" t="str">
        <x:v>Reason; repeated; direct URL; SEO</x:v>
      </x:c>
      <x:c r="N153" s="136" t="str">
        <x:v>Admin controls implemented. Desktop/mobile browser tests confirm reasoned hide, reinstate and permanent removal with public visibility changes and audit entries; ban revokes sessions, restore permits login and both decisions append audit history.</x:v>
      </x:c>
      <x:c r="O153" s="136" t="str">
        <x:v>Report resolution, direct-action authorization and final live acceptance remain open.</x:v>
      </x:c>
    </x:row>
    <x:row r="154">
      <x:c r="A154" s="135" t="str">
        <x:v>JW-150</x:v>
      </x:c>
      <x:c r="B154" s="135" t="str">
        <x:v>Trust &amp; Moderation</x:v>
      </x:c>
      <x:c r="C154" s="135" t="str">
        <x:v>Edit listing as admin</x:v>
      </x:c>
      <x:c r="D154" s="136" t="str">
        <x:v>Correct misleading content while preserving audit history</x:v>
      </x:c>
      <x:c r="E154" s="136" t="str">
        <x:v>Signed V1</x:v>
      </x:c>
      <x:c r="F154" s="136" t="str">
        <x:v>Completed</x:v>
      </x:c>
      <x:c r="G154" s="137" t="n">
        <x:v>1</x:v>
      </x:c>
      <x:c r="H154" s="136" t="str">
        <x:v>Medium</x:v>
      </x:c>
      <x:c r="I154" s="136" t="str">
        <x:v>Stage 4</x:v>
      </x:c>
      <x:c r="J154" s="136" t="str">
        <x:v>Unassigned</x:v>
      </x:c>
      <x:c r="K154" s="136" t="str">
        <x:v>Listing edit system</x:v>
      </x:c>
      <x:c r="L154" s="136" t="str">
        <x:v>Admin edits are permission-checked and appended to moderation log.</x:v>
      </x:c>
      <x:c r="M154" s="136" t="str">
        <x:v>Admin/non-admin; field validation; audit</x:v>
      </x:c>
      <x:c r="N154" s="136" t="str">
        <x:v>Admin listing edits/status transitions, audit history and user ban/unban controls are implemented.</x:v>
      </x:c>
      <x:c r="O154" s="136" t="str">
        <x:v>Retain in final regression and comprehensive browser QA.</x:v>
      </x:c>
    </x:row>
    <x:row r="155">
      <x:c r="A155" s="135" t="str">
        <x:v>JW-151</x:v>
      </x:c>
      <x:c r="B155" s="135" t="str">
        <x:v>Trust &amp; Moderation</x:v>
      </x:c>
      <x:c r="C155" s="135" t="str">
        <x:v>Flag/unpublish/reinstate</x:v>
      </x:c>
      <x:c r="D155" s="136" t="str">
        <x:v>Explicit post-publication controls without deletion</x:v>
      </x:c>
      <x:c r="E155" s="136" t="str">
        <x:v>Signed V1</x:v>
      </x:c>
      <x:c r="F155" s="136" t="str">
        <x:v>Completed</x:v>
      </x:c>
      <x:c r="G155" s="137" t="n">
        <x:v>1</x:v>
      </x:c>
      <x:c r="H155" s="136" t="str">
        <x:v>High</x:v>
      </x:c>
      <x:c r="I155" s="136" t="str">
        <x:v>Stage 4</x:v>
      </x:c>
      <x:c r="J155" s="136" t="str">
        <x:v>Unassigned</x:v>
      </x:c>
      <x:c r="K155" s="136" t="str">
        <x:v>Status lifecycle</x:v>
      </x:c>
      <x:c r="L155" s="136" t="str">
        <x:v>Admin can temporarily unpublish/flag and reinstate with reasons and audit trail.</x:v>
      </x:c>
      <x:c r="M155" s="136" t="str">
        <x:v>Transition matrix; search/detail; concurrent actions</x:v>
      </x:c>
      <x:c r="N155" s="136" t="str">
        <x:v>Admin controls implemented. Desktop/mobile browser tests confirm reasoned hide, reinstate and permanent removal with public visibility changes and audit entries; ban revokes sessions, restore permits login and both decisions append audit history.</x:v>
      </x:c>
      <x:c r="O155" s="136" t="str">
        <x:v>Report resolution, direct-action authorization and final live acceptance remain open.</x:v>
      </x:c>
    </x:row>
    <x:row r="156">
      <x:c r="A156" s="135" t="str">
        <x:v>JW-152</x:v>
      </x:c>
      <x:c r="B156" s="135" t="str">
        <x:v>Trust &amp; Moderation</x:v>
      </x:c>
      <x:c r="C156" s="135" t="str">
        <x:v>User management</x:v>
      </x:c>
      <x:c r="D156" s="136" t="str">
        <x:v>Search/view users and account state</x:v>
      </x:c>
      <x:c r="E156" s="136" t="str">
        <x:v>Signed V1</x:v>
      </x:c>
      <x:c r="F156" s="136" t="str">
        <x:v>Completed</x:v>
      </x:c>
      <x:c r="G156" s="137" t="n">
        <x:v>1</x:v>
      </x:c>
      <x:c r="H156" s="136" t="str">
        <x:v>High</x:v>
      </x:c>
      <x:c r="I156" s="136" t="str">
        <x:v>Stage 4</x:v>
      </x:c>
      <x:c r="J156" s="136" t="str">
        <x:v>Unassigned</x:v>
      </x:c>
      <x:c r="K156" s="136" t="str">
        <x:v>Admin area</x:v>
      </x:c>
      <x:c r="L156" s="136" t="str">
        <x:v>Authorized admin can inspect necessary account data without exposing secrets.</x:v>
      </x:c>
      <x:c r="M156" s="136" t="str">
        <x:v>Admin/non-admin; search; privacy</x:v>
      </x:c>
      <x:c r="N156" s="136" t="str">
        <x:v>Admin listing edits/status transitions, audit history and user ban/unban controls are implemented.</x:v>
      </x:c>
      <x:c r="O156" s="136" t="str">
        <x:v>Retain in final regression and comprehensive browser QA.</x:v>
      </x:c>
    </x:row>
    <x:row r="157">
      <x:c r="A157" s="135" t="str">
        <x:v>JW-153</x:v>
      </x:c>
      <x:c r="B157" s="135" t="str">
        <x:v>Trust &amp; Moderation</x:v>
      </x:c>
      <x:c r="C157" s="135" t="str">
        <x:v>Ban/unban users</x:v>
      </x:c>
      <x:c r="D157" s="136" t="str">
        <x:v>Suspend abusive sellers and prevent new/active access</x:v>
      </x:c>
      <x:c r="E157" s="136" t="str">
        <x:v>Signed V1</x:v>
      </x:c>
      <x:c r="F157" s="136" t="str">
        <x:v>Completed</x:v>
      </x:c>
      <x:c r="G157" s="137" t="n">
        <x:v>1</x:v>
      </x:c>
      <x:c r="H157" s="136" t="str">
        <x:v>Critical</x:v>
      </x:c>
      <x:c r="I157" s="136" t="str">
        <x:v>Stage 4</x:v>
      </x:c>
      <x:c r="J157" s="136" t="str">
        <x:v>Unassigned</x:v>
      </x:c>
      <x:c r="K157" s="136" t="str">
        <x:v>User management</x:v>
      </x:c>
      <x:c r="L157" s="136" t="str">
        <x:v>Admin action is logged and affected listings follow approved policy.</x:v>
      </x:c>
      <x:c r="M157" s="136" t="str">
        <x:v>Ban/unban; active session; listings; audit</x:v>
      </x:c>
      <x:c r="N157" s="136" t="str">
        <x:v>Admin controls implemented. Desktop/mobile browser tests confirm reasoned hide, reinstate and permanent removal with public visibility changes and audit entries; ban revokes sessions, restore permits login and both decisions append audit history.</x:v>
      </x:c>
      <x:c r="O157" s="136" t="str">
        <x:v>Report resolution, direct-action authorization and final live acceptance remain open.</x:v>
      </x:c>
    </x:row>
    <x:row r="158">
      <x:c r="A158" s="135" t="str">
        <x:v>JW-154</x:v>
      </x:c>
      <x:c r="B158" s="135" t="str">
        <x:v>Trust &amp; Moderation</x:v>
      </x:c>
      <x:c r="C158" s="135" t="str">
        <x:v>Moderation audit history</x:v>
      </x:c>
      <x:c r="D158" s="136" t="str">
        <x:v>Append-only record of automated and human actions</x:v>
      </x:c>
      <x:c r="E158" s="136" t="str">
        <x:v>Signed V1</x:v>
      </x:c>
      <x:c r="F158" s="136" t="str">
        <x:v>Completed</x:v>
      </x:c>
      <x:c r="G158" s="137" t="n">
        <x:v>1</x:v>
      </x:c>
      <x:c r="H158" s="136" t="str">
        <x:v>High</x:v>
      </x:c>
      <x:c r="I158" s="136" t="str">
        <x:v>Stage 4</x:v>
      </x:c>
      <x:c r="J158" s="136" t="str">
        <x:v>Unassigned</x:v>
      </x:c>
      <x:c r="K158" s="136" t="str">
        <x:v>Admin actions</x:v>
      </x:c>
      <x:c r="L158" s="136" t="str">
        <x:v>Every moderation/verification/user action has actor, target, reason and timestamp.</x:v>
      </x:c>
      <x:c r="M158" s="136" t="str">
        <x:v>All action types; tamper/foreign keys</x:v>
      </x:c>
      <x:c r="N158" s="136" t="str">
        <x:v>Admin controls implemented. Desktop/mobile browser tests confirm reasoned hide, reinstate and permanent removal with public visibility changes and audit entries; ban revokes sessions, restore permits login and both decisions append audit history.</x:v>
      </x:c>
      <x:c r="O158" s="136" t="str">
        <x:v>Report resolution, direct-action authorization and final live acceptance remain open.</x:v>
      </x:c>
    </x:row>
    <x:row r="159">
      <x:c r="A159" s="135" t="str">
        <x:v>JW-155</x:v>
      </x:c>
      <x:c r="B159" s="135" t="str">
        <x:v>Trust &amp; Moderation</x:v>
      </x:c>
      <x:c r="C159" s="135" t="str">
        <x:v>Admin dashboard overview</x:v>
      </x:c>
      <x:c r="D159" s="136" t="str">
        <x:v>Operational counts for reports, users, listings, dealers and assistance requests</x:v>
      </x:c>
      <x:c r="E159" s="136" t="str">
        <x:v>Signed V1</x:v>
      </x:c>
      <x:c r="F159" s="136" t="str">
        <x:v>Completed</x:v>
      </x:c>
      <x:c r="G159" s="137" t="n">
        <x:v>1</x:v>
      </x:c>
      <x:c r="H159" s="136" t="str">
        <x:v>Medium</x:v>
      </x:c>
      <x:c r="I159" s="136" t="str">
        <x:v>Stage 4</x:v>
      </x:c>
      <x:c r="J159" s="136" t="str">
        <x:v>Unassigned</x:v>
      </x:c>
      <x:c r="K159" s="136" t="str">
        <x:v>Admin modules</x:v>
      </x:c>
      <x:c r="L159" s="136" t="str">
        <x:v>Dashboard shows genuine current counts and routes to work queues.</x:v>
      </x:c>
      <x:c r="M159" s="136" t="str">
        <x:v>Count accuracy; empty; performance</x:v>
      </x:c>
      <x:c r="N159" s="136" t="str">
        <x:v>Admin listing edits/status transitions, audit history and user ban/unban controls are implemented.</x:v>
      </x:c>
      <x:c r="O159" s="136" t="str">
        <x:v>Retain in final regression and comprehensive browser QA.</x:v>
      </x:c>
    </x:row>
    <x:row r="160">
      <x:c r="A160" s="135" t="str">
        <x:v>JW-156</x:v>
      </x:c>
      <x:c r="B160" s="135" t="str">
        <x:v>SEO</x:v>
      </x:c>
      <x:c r="C160" s="135" t="str">
        <x:v>Canonical facet registry</x:v>
      </x:c>
      <x:c r="D160" s="136" t="str">
        <x:v>Closed, deterministic filter URL model</x:v>
      </x:c>
      <x:c r="E160" s="136" t="str">
        <x:v>Signed V1</x:v>
      </x:c>
      <x:c r="F160" s="136" t="str">
        <x:v>Completed</x:v>
      </x:c>
      <x:c r="G160" s="137" t="n">
        <x:v>1</x:v>
      </x:c>
      <x:c r="H160" s="136" t="str">
        <x:v>Critical</x:v>
      </x:c>
      <x:c r="I160" s="136" t="str">
        <x:v>Stage 6</x:v>
      </x:c>
      <x:c r="J160" s="136" t="str">
        <x:v>Unassigned</x:v>
      </x:c>
      <x:c r="K160" s="136" t="str">
        <x:v>Taxonomy</x:v>
      </x:c>
      <x:c r="L160" s="136" t="str">
        <x:v>Equivalent result sets resolve to one canonical URL and unknown segments 404.</x:v>
      </x:c>
      <x:c r="M160" s="136" t="str">
        <x:v>37 policy assertions; reorder redirects; collisions</x:v>
      </x:c>
      <x:c r="N160" s="136" t="str">
        <x:v>Facet registry and resolver are implemented.</x:v>
      </x:c>
      <x:c r="O160" s="136" t="str">
        <x:v>Maintain tests for every new facet.</x:v>
      </x:c>
    </x:row>
    <x:row r="161">
      <x:c r="A161" s="135" t="str">
        <x:v>JW-157</x:v>
      </x:c>
      <x:c r="B161" s="135" t="str">
        <x:v>SEO</x:v>
      </x:c>
      <x:c r="C161" s="135" t="str">
        <x:v>Indexation whitelist</x:v>
      </x:c>
      <x:c r="D161" s="136" t="str">
        <x:v>Index valuable facets and noindex thin/range/sorted variants</x:v>
      </x:c>
      <x:c r="E161" s="136" t="str">
        <x:v>Signed V1</x:v>
      </x:c>
      <x:c r="F161" s="136" t="str">
        <x:v>Completed</x:v>
      </x:c>
      <x:c r="G161" s="137" t="n">
        <x:v>1</x:v>
      </x:c>
      <x:c r="H161" s="136" t="str">
        <x:v>Critical</x:v>
      </x:c>
      <x:c r="I161" s="136" t="str">
        <x:v>Stage 6</x:v>
      </x:c>
      <x:c r="J161" s="136" t="str">
        <x:v>Unassigned</x:v>
      </x:c>
      <x:c r="K161" s="136" t="str">
        <x:v>Facet state</x:v>
      </x:c>
      <x:c r="L161" s="136" t="str">
        <x:v>Robots and canonical decisions match policy for all combinations.</x:v>
      </x:c>
      <x:c r="M161" s="136" t="str">
        <x:v>Pure policy tests; rendered metadata</x:v>
      </x:c>
      <x:c r="N161" s="136" t="str">
        <x:v>37 SEO assertions currently pass.</x:v>
      </x:c>
      <x:c r="O161" s="136" t="str">
        <x:v>Add tests when route behavior changes.</x:v>
      </x:c>
    </x:row>
    <x:row r="162">
      <x:c r="A162" s="135" t="str">
        <x:v>JW-158</x:v>
      </x:c>
      <x:c r="B162" s="135" t="str">
        <x:v>SEO</x:v>
      </x:c>
      <x:c r="C162" s="135" t="str">
        <x:v>Dynamic metadata</x:v>
      </x:c>
      <x:c r="D162" s="136" t="str">
        <x:v>Distinct titles, descriptions, canonicals and Open Graph data</x:v>
      </x:c>
      <x:c r="E162" s="136" t="str">
        <x:v>Signed V1</x:v>
      </x:c>
      <x:c r="F162" s="136" t="str">
        <x:v>Completed</x:v>
      </x:c>
      <x:c r="G162" s="137" t="n">
        <x:v>1</x:v>
      </x:c>
      <x:c r="H162" s="136" t="str">
        <x:v>High</x:v>
      </x:c>
      <x:c r="I162" s="136" t="str">
        <x:v>Stage 6</x:v>
      </x:c>
      <x:c r="J162" s="136" t="str">
        <x:v>Unassigned</x:v>
      </x:c>
      <x:c r="K162" s="136" t="str">
        <x:v>Routes/detail data</x:v>
      </x:c>
      <x:c r="L162" s="136" t="str">
        <x:v>Every public page has accurate unique metadata and non-live listings are noindex.</x:v>
      </x:c>
      <x:c r="M162" s="136" t="str">
        <x:v>Sample every route shape; missing images</x:v>
      </x:c>
      <x:c r="N162" s="136" t="str">
        <x:v>Implemented.</x:v>
      </x:c>
      <x:c r="O162" s="136" t="str">
        <x:v>Run production crawl audit.</x:v>
      </x:c>
    </x:row>
    <x:row r="163">
      <x:c r="A163" s="135" t="str">
        <x:v>JW-159</x:v>
      </x:c>
      <x:c r="B163" s="135" t="str">
        <x:v>SEO</x:v>
      </x:c>
      <x:c r="C163" s="135" t="str">
        <x:v>Structured data</x:v>
      </x:c>
      <x:c r="D163" s="136" t="str">
        <x:v>Organization, Website, Vehicle, Breadcrumb and ItemList JSON-LD</x:v>
      </x:c>
      <x:c r="E163" s="136" t="str">
        <x:v>Signed V1</x:v>
      </x:c>
      <x:c r="F163" s="136" t="str">
        <x:v>Partially Implemented</x:v>
      </x:c>
      <x:c r="G163" s="137" t="n">
        <x:v>0.9</x:v>
      </x:c>
      <x:c r="H163" s="136" t="str">
        <x:v>High</x:v>
      </x:c>
      <x:c r="I163" s="136" t="str">
        <x:v>Stage 6</x:v>
      </x:c>
      <x:c r="J163" s="136" t="str">
        <x:v>Unassigned</x:v>
      </x:c>
      <x:c r="K163" s="136" t="str">
        <x:v>Public URLs/media</x:v>
      </x:c>
      <x:c r="L163" s="136" t="str">
        <x:v>Schema validates and uses correct canonical logo/search/listing/image URLs.</x:v>
      </x:c>
      <x:c r="M163" s="136" t="str">
        <x:v>Schema.org validator; all verticals; production origin</x:v>
      </x:c>
      <x:c r="N163" s="136" t="str">
        <x:v>Car/bike Vehicle and auto-parts Product JSON-LD now render from visible listing data. Parts include PKR Offer price, condition, optional brand/category and city without checkout or shipping claims. Shared JSON-LD serialization escapes seller-controlled text so it cannot close the script element. Five new SEO assertions and desktop/mobile parts-detail browser checks pass.</x:v>
      </x:c>
      <x:c r="O163" s="136" t="str">
        <x:v>Run Google/schema.org rich-result validation against the selected public staging and production origins, including real media URLs.</x:v>
      </x:c>
    </x:row>
    <x:row r="164">
      <x:c r="A164" s="135" t="str">
        <x:v>JW-160</x:v>
      </x:c>
      <x:c r="B164" s="135" t="str">
        <x:v>SEO</x:v>
      </x:c>
      <x:c r="C164" s="135" t="str">
        <x:v>Sitemap</x:v>
      </x:c>
      <x:c r="D164" s="136" t="str">
        <x:v>Dynamic live listings, dealers and sufficiently populated facet pages</x:v>
      </x:c>
      <x:c r="E164" s="136" t="str">
        <x:v>Signed V1</x:v>
      </x:c>
      <x:c r="F164" s="136" t="str">
        <x:v>Completed</x:v>
      </x:c>
      <x:c r="G164" s="137" t="n">
        <x:v>1</x:v>
      </x:c>
      <x:c r="H164" s="136" t="str">
        <x:v>High</x:v>
      </x:c>
      <x:c r="I164" s="136" t="str">
        <x:v>Stage 6</x:v>
      </x:c>
      <x:c r="J164" s="136" t="str">
        <x:v>Unassigned</x:v>
      </x:c>
      <x:c r="K164" s="136" t="str">
        <x:v>Live DB</x:v>
      </x:c>
      <x:c r="L164" s="136" t="str">
        <x:v>Sitemap contains only canonical indexable URLs and stays under limits.</x:v>
      </x:c>
      <x:c r="M164" s="136" t="str">
        <x:v>Empty/populated DB; 50k boundary; URL origin</x:v>
      </x:c>
      <x:c r="N164" s="136" t="str">
        <x:v>Dynamic sitemap is implemented.</x:v>
      </x:c>
      <x:c r="O164" s="136" t="str">
        <x:v>Load-test generation and plan sharding before 50k URLs.</x:v>
      </x:c>
    </x:row>
    <x:row r="165">
      <x:c r="A165" s="135" t="str">
        <x:v>JW-161</x:v>
      </x:c>
      <x:c r="B165" s="135" t="str">
        <x:v>SEO</x:v>
      </x:c>
      <x:c r="C165" s="135" t="str">
        <x:v>Sitemap build resilience</x:v>
      </x:c>
      <x:c r="D165" s="136" t="str">
        <x:v>Build/deploy does not fail when build-time database is unavailable</x:v>
      </x:c>
      <x:c r="E165" s="136" t="str">
        <x:v>Signed V1</x:v>
      </x:c>
      <x:c r="F165" s="136" t="str">
        <x:v>Partially Implemented</x:v>
      </x:c>
      <x:c r="G165" s="137" t="n">
        <x:v>0.6</x:v>
      </x:c>
      <x:c r="H165" s="136" t="str">
        <x:v>Medium</x:v>
      </x:c>
      <x:c r="I165" s="136" t="str">
        <x:v>Stage 6</x:v>
      </x:c>
      <x:c r="J165" s="136" t="str">
        <x:v>Unassigned</x:v>
      </x:c>
      <x:c r="K165" s="136" t="str">
        <x:v>Deployment environment</x:v>
      </x:c>
      <x:c r="L165" s="136" t="str">
        <x:v>Production build strategy reliably supplies DB or isolates runtime generation.</x:v>
      </x:c>
      <x:c r="M165" s="136" t="str">
        <x:v>Build with/without DB; deployment preview</x:v>
      </x:c>
      <x:c r="N165" s="136" t="str">
        <x:v>Sitemap is force-dynamic, but build still requires DB for page data in this workspace.</x:v>
      </x:c>
      <x:c r="O165" s="136" t="str">
        <x:v>Define staging/build database requirements.</x:v>
      </x:c>
    </x:row>
    <x:row r="166">
      <x:c r="A166" s="135" t="str">
        <x:v>JW-162</x:v>
      </x:c>
      <x:c r="B166" s="135" t="str">
        <x:v>SEO</x:v>
      </x:c>
      <x:c r="C166" s="135" t="str">
        <x:v>Robots policy</x:v>
      </x:c>
      <x:c r="D166" s="136" t="str">
        <x:v>Block non-production indexing and disallow private/utility routes</x:v>
      </x:c>
      <x:c r="E166" s="136" t="str">
        <x:v>Signed V1</x:v>
      </x:c>
      <x:c r="F166" s="136" t="str">
        <x:v>Completed</x:v>
      </x:c>
      <x:c r="G166" s="137" t="n">
        <x:v>1</x:v>
      </x:c>
      <x:c r="H166" s="136" t="str">
        <x:v>Critical</x:v>
      </x:c>
      <x:c r="I166" s="136" t="str">
        <x:v>Stage 6</x:v>
      </x:c>
      <x:c r="J166" s="136" t="str">
        <x:v>Unassigned</x:v>
      </x:c>
      <x:c r="K166" s="136" t="str">
        <x:v>Correct environment flags</x:v>
      </x:c>
      <x:c r="L166" s="136" t="str">
        <x:v>Staging is fully disallowed; production exposes public routes and sitemap.</x:v>
      </x:c>
      <x:c r="M166" s="136" t="str">
        <x:v>Staging/production env render; robots fetch</x:v>
      </x:c>
      <x:c r="N166" s="136" t="str">
        <x:v>Robots policy now gives VERCEL_ENV precedence over NODE_ENV, so preview/development builds remain blocked even when built with NODE_ENV=production. Five environment-policy assertions pass; local 97-route sweep found 0 issues.</x:v>
      </x:c>
      <x:c r="O166" s="136" t="str">
        <x:v>Verify robots.txt and canonical host on the selected production and staging deployments.</x:v>
      </x:c>
    </x:row>
    <x:row r="167">
      <x:c r="A167" s="135" t="str">
        <x:v>JW-163</x:v>
      </x:c>
      <x:c r="B167" s="135" t="str">
        <x:v>SEO</x:v>
      </x:c>
      <x:c r="C167" s="135" t="str">
        <x:v>Breadcrumbs and internal links</x:v>
      </x:c>
      <x:c r="D167" s="136" t="str">
        <x:v>Crawlable navigation across home, facets, details and dealers</x:v>
      </x:c>
      <x:c r="E167" s="136" t="str">
        <x:v>Signed V1</x:v>
      </x:c>
      <x:c r="F167" s="136" t="str">
        <x:v>Completed</x:v>
      </x:c>
      <x:c r="G167" s="137" t="n">
        <x:v>1</x:v>
      </x:c>
      <x:c r="H167" s="136" t="str">
        <x:v>Medium</x:v>
      </x:c>
      <x:c r="I167" s="136" t="str">
        <x:v>Stage 6</x:v>
      </x:c>
      <x:c r="J167" s="136" t="str">
        <x:v>Unassigned</x:v>
      </x:c>
      <x:c r="K167" s="136" t="str">
        <x:v>Canonical paths</x:v>
      </x:c>
      <x:c r="L167" s="136" t="str">
        <x:v>Links use canonical routes and do not create duplicate facet orderings.</x:v>
      </x:c>
      <x:c r="M167" s="136" t="str">
        <x:v>Crawl; link checker; breadcrumbs schema</x:v>
      </x:c>
      <x:c r="N167" s="136" t="str">
        <x:v>Implemented.</x:v>
      </x:c>
      <x:c r="O167" s="136" t="str">
        <x:v>Repeat route sweep after every navigation change.</x:v>
      </x:c>
    </x:row>
    <x:row r="168">
      <x:c r="A168" s="135" t="str">
        <x:v>JW-164</x:v>
      </x:c>
      <x:c r="B168" s="135" t="str">
        <x:v>SEO</x:v>
      </x:c>
      <x:c r="C168" s="135" t="str">
        <x:v>Expired/sold page policy</x:v>
      </x:c>
      <x:c r="D168" s="136" t="str">
        <x:v>Noindex non-live pages and preserve appropriate user experience</x:v>
      </x:c>
      <x:c r="E168" s="136" t="str">
        <x:v>Signed V1</x:v>
      </x:c>
      <x:c r="F168" s="136" t="str">
        <x:v>Partially Implemented</x:v>
      </x:c>
      <x:c r="G168" s="137" t="n">
        <x:v>0.85</x:v>
      </x:c>
      <x:c r="H168" s="136" t="str">
        <x:v>High</x:v>
      </x:c>
      <x:c r="I168" s="136" t="str">
        <x:v>Stage 6</x:v>
      </x:c>
      <x:c r="J168" s="136" t="str">
        <x:v>QA</x:v>
      </x:c>
      <x:c r="K168" s="136" t="str">
        <x:v>Status lifecycle</x:v>
      </x:c>
      <x:c r="L168" s="136" t="str">
        <x:v>Sold pages follow approved retention policy; private/removed pages are not publicly exposed.</x:v>
      </x:c>
      <x:c r="M168" s="136" t="str">
        <x:v>All statuses; canonical; sitemap/search exclusion</x:v>
      </x:c>
      <x:c r="N168" s="136" t="str">
        <x:v>Reviewed estimate 85%: docs/PROJECT.md and shared visibility policy define active-only public details; inactive owner/admin views are noindexed. Static policy checks and public pending/removed browser denial pass. Media GET/HEAD checks now cover every inactive status. Full listing lifecycle/crawler deployment acceptance remains.</x:v>
      </x:c>
      <x:c r="O168" s="136" t="str">
        <x:v>Test sold/expired detail, search and sitemap transitions end to end on staging; preserve the documented active-only public policy.</x:v>
      </x:c>
    </x:row>
    <x:row r="169">
      <x:c r="A169" s="135" t="str">
        <x:v>JW-165</x:v>
      </x:c>
      <x:c r="B169" s="135" t="str">
        <x:v>Security &amp; Privacy</x:v>
      </x:c>
      <x:c r="C169" s="135" t="str">
        <x:v>Security headers</x:v>
      </x:c>
      <x:c r="D169" s="136" t="str">
        <x:v>CSP, HSTS, nosniff, frame, referrer and permissions policies</x:v>
      </x:c>
      <x:c r="E169" s="136" t="str">
        <x:v>Signed V1</x:v>
      </x:c>
      <x:c r="F169" s="136" t="str">
        <x:v>Completed</x:v>
      </x:c>
      <x:c r="G169" s="137" t="n">
        <x:v>1</x:v>
      </x:c>
      <x:c r="H169" s="136" t="str">
        <x:v>Critical</x:v>
      </x:c>
      <x:c r="I169" s="136" t="str">
        <x:v>Stage 6</x:v>
      </x:c>
      <x:c r="J169" s="136" t="str">
        <x:v>Unassigned</x:v>
      </x:c>
      <x:c r="K169" s="136" t="str">
        <x:v>HTTPS hosting</x:v>
      </x:c>
      <x:c r="L169" s="136" t="str">
        <x:v>Headers are present and do not break production hydration/media/analytics.</x:v>
      </x:c>
      <x:c r="M169" s="136" t="str">
        <x:v>Header scan; CSP console; HTTPS</x:v>
      </x:c>
      <x:c r="N169" s="136" t="str">
        <x:v>Configured in next.config.ts.</x:v>
      </x:c>
      <x:c r="O169" s="136" t="str">
        <x:v>Validate on deployed staging; tighten CSP where possible.</x:v>
      </x:c>
    </x:row>
    <x:row r="170">
      <x:c r="A170" s="135" t="str">
        <x:v>JW-166</x:v>
      </x:c>
      <x:c r="B170" s="135" t="str">
        <x:v>Security &amp; Privacy</x:v>
      </x:c>
      <x:c r="C170" s="135" t="str">
        <x:v>Authorization coverage</x:v>
      </x:c>
      <x:c r="D170" s="136" t="str">
        <x:v>Ownership/admin checks on every write and private read</x:v>
      </x:c>
      <x:c r="E170" s="136" t="str">
        <x:v>Signed V1</x:v>
      </x:c>
      <x:c r="F170" s="136" t="str">
        <x:v>Partially Implemented</x:v>
      </x:c>
      <x:c r="G170" s="137" t="n">
        <x:v>0.96</x:v>
      </x:c>
      <x:c r="H170" s="136" t="str">
        <x:v>Critical</x:v>
      </x:c>
      <x:c r="I170" s="136" t="str">
        <x:v>Stage 1</x:v>
      </x:c>
      <x:c r="J170" s="136" t="str">
        <x:v>QA</x:v>
      </x:c>
      <x:c r="K170" s="136" t="str">
        <x:v>All CRUD actions</x:v>
      </x:c>
      <x:c r="L170" s="136" t="str">
        <x:v>Every mutation and private resource has explicit server-side authorization tests.</x:v>
      </x:c>
      <x:c r="M170" s="136" t="str">
        <x:v>IDOR; direct action calls; cross-user access</x:v>
      </x:c>
      <x:c r="N170" s="136" t="str">
        <x:v>Local photo/action coverage includes direct dealer verify/revoke and inspection/assistance update replay: non-admin/anonymous actors cannot mutate records/audits; owners also cannot perform service-admin changes. Identical administrator payload succeeds. Customer records/private notes remain isolated. Prior owner listing/media regressions pass.</x:v>
      </x:c>
      <x:c r="O170" s="136" t="str">
        <x:v>Complete remaining action/edge/concurrency matrix and provider/infrastructure security review; Cloudflare private delivery remains in JW-083.</x:v>
      </x:c>
    </x:row>
    <x:row r="171">
      <x:c r="A171" s="135" t="str">
        <x:v>JW-167</x:v>
      </x:c>
      <x:c r="B171" s="135" t="str">
        <x:v>Security &amp; Privacy</x:v>
      </x:c>
      <x:c r="C171" s="135" t="str">
        <x:v>Input validation</x:v>
      </x:c>
      <x:c r="D171" s="136" t="str">
        <x:v>Server-side schemas and field-specific user messages</x:v>
      </x:c>
      <x:c r="E171" s="136" t="str">
        <x:v>Signed V1</x:v>
      </x:c>
      <x:c r="F171" s="136" t="str">
        <x:v>Partially Implemented</x:v>
      </x:c>
      <x:c r="G171" s="137" t="n">
        <x:v>0.97</x:v>
      </x:c>
      <x:c r="H171" s="136" t="str">
        <x:v>Critical</x:v>
      </x:c>
      <x:c r="I171" s="136" t="str">
        <x:v>Stage 1</x:v>
      </x:c>
      <x:c r="J171" s="136" t="str">
        <x:v>Unassigned</x:v>
      </x:c>
      <x:c r="K171" s="136" t="str">
        <x:v>All forms/actions</x:v>
      </x:c>
      <x:c r="L171" s="136" t="str">
        <x:v>Every external input is parsed, bounded and returns safe feedback.</x:v>
      </x:c>
      <x:c r="M171" s="136" t="str">
        <x:v>Tampered forms; oversized text; invalid IDs</x:v>
      </x:c>
      <x:c r="N171" s="136" t="str">
        <x:v>Audited user-input Zod constraints across car, bike, parts, inspection, assistance, dealer, account and saved-search actions. Missing integer, bound and enum messages now explain corrections; malformed city/variant IDs have regression checks. Full check, lint, production build and 97-route local sweep pass.</x:v>
      </x:c>
      <x:c r="O171" s="136" t="str">
        <x:v>Complete direct server-action tampering/browser negative matrix for auth, edits, deletes and admin permissions in JW-166/JW-177.</x:v>
      </x:c>
    </x:row>
    <x:row r="172">
      <x:c r="A172" s="135" t="str">
        <x:v>JW-168</x:v>
      </x:c>
      <x:c r="B172" s="135" t="str">
        <x:v>Security &amp; Privacy</x:v>
      </x:c>
      <x:c r="C172" s="135" t="str">
        <x:v>Rate limiting</x:v>
      </x:c>
      <x:c r="D172" s="136" t="str">
        <x:v>Protect uploads, reports, contact reveals, inspection and listing submission</x:v>
      </x:c>
      <x:c r="E172" s="136" t="str">
        <x:v>Signed V1</x:v>
      </x:c>
      <x:c r="F172" s="136" t="str">
        <x:v>Partially Implemented</x:v>
      </x:c>
      <x:c r="G172" s="137" t="n">
        <x:v>0.98</x:v>
      </x:c>
      <x:c r="H172" s="136" t="str">
        <x:v>Critical</x:v>
      </x:c>
      <x:c r="I172" s="136" t="str">
        <x:v>Stage 1</x:v>
      </x:c>
      <x:c r="J172" s="136" t="str">
        <x:v>Unassigned</x:v>
      </x:c>
      <x:c r="K172" s="136" t="str">
        <x:v>Rate-limit store and proxy configuration</x:v>
      </x:c>
      <x:c r="L172" s="136" t="str">
        <x:v>High-risk endpoints resist burst/distributed abuse with observable limits.</x:v>
      </x:c>
      <x:c r="M172" s="136" t="str">
        <x:v>Per-IP/user; proxy spoof; reset; fail-open/closed</x:v>
      </x:c>
      <x:c r="N172" s="136" t="str">
        <x:v>Shared PostgreSQL limits now cover authentication, OAuth start, uploads, contact, reports, manual-service requests, ad publication, account profile/password/avatar and dealer registration/profile/logo. Fresh desktop/mobile browser tests verify denied account/dealer writes preserve database state; atomic concurrency DB test passes.</x:v>
      </x:c>
      <x:c r="O172" s="136" t="str">
        <x:v>Validate trusted proxy IP headers, thresholds, expiry recovery and security alerts in staging; review remaining remove and administrator write actions.</x:v>
      </x:c>
    </x:row>
    <x:row r="173">
      <x:c r="A173" s="135" t="str">
        <x:v>JW-169</x:v>
      </x:c>
      <x:c r="B173" s="135" t="str">
        <x:v>Security &amp; Privacy</x:v>
      </x:c>
      <x:c r="C173" s="135" t="str">
        <x:v>Sensitive data handling</x:v>
      </x:c>
      <x:c r="D173" s="136" t="str">
        <x:v>Never commit .env, passwords, raw session tokens or production customer data</x:v>
      </x:c>
      <x:c r="E173" s="136" t="str">
        <x:v>Signed V1</x:v>
      </x:c>
      <x:c r="F173" s="136" t="str">
        <x:v>Completed</x:v>
      </x:c>
      <x:c r="G173" s="137" t="n">
        <x:v>1</x:v>
      </x:c>
      <x:c r="H173" s="136" t="str">
        <x:v>Critical</x:v>
      </x:c>
      <x:c r="I173" s="136" t="str">
        <x:v>Stage 0</x:v>
      </x:c>
      <x:c r="J173" s="136" t="str">
        <x:v>Unassigned</x:v>
      </x:c>
      <x:c r="K173" s="136" t="str">
        <x:v>Git workflow</x:v>
      </x:c>
      <x:c r="L173" s="136" t="str">
        <x:v>Secret scan is clean and logs/errors avoid sensitive values.</x:v>
      </x:c>
      <x:c r="M173" s="136" t="str">
        <x:v>Repository secret scan; logging review</x:v>
      </x:c>
      <x:c r="N173" s="136" t="str">
        <x:v>.env is ignored and repository guidance is explicit.</x:v>
      </x:c>
      <x:c r="O173" s="136" t="str">
        <x:v>Add automated secret scanning in CI.</x:v>
      </x:c>
    </x:row>
    <x:row r="174">
      <x:c r="A174" s="135" t="str">
        <x:v>JW-170</x:v>
      </x:c>
      <x:c r="B174" s="135" t="str">
        <x:v>Security &amp; Privacy</x:v>
      </x:c>
      <x:c r="C174" s="135" t="str">
        <x:v>Privacy policy and consent</x:v>
      </x:c>
      <x:c r="D174" s="136" t="str">
        <x:v>Disclose accounts, cookies, analytics, saved searches and contact handling</x:v>
      </x:c>
      <x:c r="E174" s="136" t="str">
        <x:v>Signed V1</x:v>
      </x:c>
      <x:c r="F174" s="136" t="str">
        <x:v>Partially Implemented</x:v>
      </x:c>
      <x:c r="G174" s="137" t="n">
        <x:v>0.75</x:v>
      </x:c>
      <x:c r="H174" s="136" t="str">
        <x:v>Critical</x:v>
      </x:c>
      <x:c r="I174" s="136" t="str">
        <x:v>Stage 6</x:v>
      </x:c>
      <x:c r="J174" s="136" t="str">
        <x:v>Unassigned</x:v>
      </x:c>
      <x:c r="K174" s="136" t="str">
        <x:v>Approved legal content</x:v>
      </x:c>
      <x:c r="L174" s="136" t="str">
        <x:v>Published policy accurately describes actual data processing and retention.</x:v>
      </x:c>
      <x:c r="M174" s="136" t="str">
        <x:v>Legal review; link availability; consent flows</x:v>
      </x:c>
      <x:c r="N174" s="136" t="str">
        <x:v>Privacy Policy is live and linked. A final provider/data-retention review and any required consent UI remain for launch hardening.</x:v>
      </x:c>
      <x:c r="O174" s="136" t="str">
        <x:v>Validate final provider disclosures and consent requirements before production launch.</x:v>
      </x:c>
    </x:row>
    <x:row r="175">
      <x:c r="A175" s="135" t="str">
        <x:v>JW-171</x:v>
      </x:c>
      <x:c r="B175" s="135" t="str">
        <x:v>Security &amp; Privacy</x:v>
      </x:c>
      <x:c r="C175" s="135" t="str">
        <x:v>Data retention/deletion</x:v>
      </x:c>
      <x:c r="D175" s="136" t="str">
        <x:v>Define cleanup for sessions, reports, accounts, uploads and assistance requests</x:v>
      </x:c>
      <x:c r="E175" s="136" t="str">
        <x:v>Signed V1</x:v>
      </x:c>
      <x:c r="F175" s="136" t="str">
        <x:v>Partially Implemented</x:v>
      </x:c>
      <x:c r="G175" s="137" t="n">
        <x:v>0.3</x:v>
      </x:c>
      <x:c r="H175" s="136" t="str">
        <x:v>High</x:v>
      </x:c>
      <x:c r="I175" s="136" t="str">
        <x:v>Stage 6</x:v>
      </x:c>
      <x:c r="J175" s="136" t="str">
        <x:v>Backend</x:v>
      </x:c>
      <x:c r="K175" s="136" t="str">
        <x:v>Privacy policy and operations</x:v>
      </x:c>
      <x:c r="L175" s="136" t="str">
        <x:v>Retention schedule and deletion workflows are documented and executable.</x:v>
      </x:c>
      <x:c r="M175" s="136" t="str">
        <x:v>Retention job; account deletion; backup implications</x:v>
      </x:c>
      <x:c r="N175" s="136" t="str">
        <x:v>Reviewed estimate 30%: purge-expired removes expired sessions, reset/verification tokens, old rate-limit buckets and abandoned uploads. Orphan storage cleanup has browser/DB acceptance. Account/report/service-record retention, deletion tooling and backup implications remain undefined/incomplete.</x:v>
      </x:c>
      <x:c r="O175" s="136" t="str">
        <x:v>Document retention decisions and implement account/report/service deletion workflows; verify backup handling and scheduled execution.</x:v>
      </x:c>
    </x:row>
    <x:row r="176">
      <x:c r="A176" s="135" t="str">
        <x:v>JW-172</x:v>
      </x:c>
      <x:c r="B176" s="135" t="str">
        <x:v>Security &amp; Privacy</x:v>
      </x:c>
      <x:c r="C176" s="135" t="str">
        <x:v>Security review</x:v>
      </x:c>
      <x:c r="D176" s="136" t="str">
        <x:v>Pre-launch application and infrastructure assessment</x:v>
      </x:c>
      <x:c r="E176" s="136" t="str">
        <x:v>Signed V1</x:v>
      </x:c>
      <x:c r="F176" s="136" t="str">
        <x:v>Partially Implemented</x:v>
      </x:c>
      <x:c r="G176" s="137" t="n">
        <x:v>0.4</x:v>
      </x:c>
      <x:c r="H176" s="136" t="str">
        <x:v>Critical</x:v>
      </x:c>
      <x:c r="I176" s="136" t="str">
        <x:v>Stage 6</x:v>
      </x:c>
      <x:c r="J176" s="136" t="str">
        <x:v>QA</x:v>
      </x:c>
      <x:c r="K176" s="136" t="str">
        <x:v>Feature-complete staging</x:v>
      </x:c>
      <x:c r="L176" s="136" t="str">
        <x:v>No unresolved critical/high issue remains; remediation is regression-tested.</x:v>
      </x:c>
      <x:c r="M176" s="136" t="str">
        <x:v>OWASP review; dependency; auth; IDOR; upload; headers</x:v>
      </x:c>
      <x:c r="N176" s="136" t="str">
        <x:v>Reviewed estimate 40%: local review/regressions cover ownership, admin replay, upload content/origin/rate limits, private local reads and dependency audit. CI run 37 passes. Formal infrastructure assessment, remaining action negatives and Cloudflare privacy are not complete; this is not launch security sign-off.</x:v>
      </x:c>
      <x:c r="O176" s="136" t="str">
        <x:v>Finish dealer/service/private-provider assessment and infrastructure review; close critical/high findings with regression evidence.</x:v>
      </x:c>
    </x:row>
    <x:row r="177">
      <x:c r="A177" s="135" t="str">
        <x:v>JW-173</x:v>
      </x:c>
      <x:c r="B177" s="135" t="str">
        <x:v>Quality &amp; Performance</x:v>
      </x:c>
      <x:c r="C177" s="135" t="str">
        <x:v>TypeScript verification</x:v>
      </x:c>
      <x:c r="D177" s="136" t="str">
        <x:v>Strict compile check</x:v>
      </x:c>
      <x:c r="E177" s="136" t="str">
        <x:v>Technical Foundation</x:v>
      </x:c>
      <x:c r="F177" s="136" t="str">
        <x:v>Completed</x:v>
      </x:c>
      <x:c r="G177" s="137" t="n">
        <x:v>1</x:v>
      </x:c>
      <x:c r="H177" s="136" t="str">
        <x:v>High</x:v>
      </x:c>
      <x:c r="I177" s="136" t="str">
        <x:v>Stage 0</x:v>
      </x:c>
      <x:c r="J177" s="136" t="str">
        <x:v>Unassigned</x:v>
      </x:c>
      <x:c r="K177" s="136" t="str">
        <x:v>Codebase</x:v>
      </x:c>
      <x:c r="L177" s="136" t="str">
        <x:v>npm run typecheck returns zero errors.</x:v>
      </x:c>
      <x:c r="M177" s="136" t="str">
        <x:v>Run on every PR</x:v>
      </x:c>
      <x:c r="N177" s="136" t="str">
        <x:v>Passed on current homepage branch.</x:v>
      </x:c>
      <x:c r="O177" s="136" t="str">
        <x:v>Enforce in CI.</x:v>
      </x:c>
    </x:row>
    <x:row r="178">
      <x:c r="A178" s="135" t="str">
        <x:v>JW-174</x:v>
      </x:c>
      <x:c r="B178" s="135" t="str">
        <x:v>Quality &amp; Performance</x:v>
      </x:c>
      <x:c r="C178" s="135" t="str">
        <x:v>Lint verification</x:v>
      </x:c>
      <x:c r="D178" s="136" t="str">
        <x:v>ESLint/Next rules</x:v>
      </x:c>
      <x:c r="E178" s="136" t="str">
        <x:v>Technical Foundation</x:v>
      </x:c>
      <x:c r="F178" s="136" t="str">
        <x:v>Completed</x:v>
      </x:c>
      <x:c r="G178" s="137" t="n">
        <x:v>1</x:v>
      </x:c>
      <x:c r="H178" s="136" t="str">
        <x:v>High</x:v>
      </x:c>
      <x:c r="I178" s="136" t="str">
        <x:v>Stage 0</x:v>
      </x:c>
      <x:c r="J178" s="136" t="str">
        <x:v>Unassigned</x:v>
      </x:c>
      <x:c r="K178" s="136" t="str">
        <x:v>Codebase</x:v>
      </x:c>
      <x:c r="L178" s="136" t="str">
        <x:v>Lint returns zero warnings/errors.</x:v>
      </x:c>
      <x:c r="M178" s="136" t="str">
        <x:v>Run on every PR</x:v>
      </x:c>
      <x:c r="N178" s="136" t="str">
        <x:v>Passed on current homepage branch; command is deprecated for Next 16.</x:v>
      </x:c>
      <x:c r="O178" s="136" t="str">
        <x:v>Migrate to ESLint CLI before Next 16.</x:v>
      </x:c>
    </x:row>
    <x:row r="179">
      <x:c r="A179" s="135" t="str">
        <x:v>JW-175</x:v>
      </x:c>
      <x:c r="B179" s="135" t="str">
        <x:v>Quality &amp; Performance</x:v>
      </x:c>
      <x:c r="C179" s="135" t="str">
        <x:v>SEO test suite</x:v>
      </x:c>
      <x:c r="D179" s="136" t="str">
        <x:v>Pure assertions for URL, canonical and title logic</x:v>
      </x:c>
      <x:c r="E179" s="136" t="str">
        <x:v>Technical Foundation</x:v>
      </x:c>
      <x:c r="F179" s="136" t="str">
        <x:v>Completed</x:v>
      </x:c>
      <x:c r="G179" s="137" t="n">
        <x:v>1</x:v>
      </x:c>
      <x:c r="H179" s="136" t="str">
        <x:v>High</x:v>
      </x:c>
      <x:c r="I179" s="136" t="str">
        <x:v>Stage 6</x:v>
      </x:c>
      <x:c r="J179" s="136" t="str">
        <x:v>Unassigned</x:v>
      </x:c>
      <x:c r="K179" s="136" t="str">
        <x:v>SEO code</x:v>
      </x:c>
      <x:c r="L179" s="136" t="str">
        <x:v>All assertions pass and new policy cases have tests.</x:v>
      </x:c>
      <x:c r="M179" s="136" t="str">
        <x:v>npm run check:seo</x:v>
      </x:c>
      <x:c r="N179" s="136" t="str">
        <x:v>37/37 passed on current branch.</x:v>
      </x:c>
      <x:c r="O179" s="136" t="str">
        <x:v>Expand with any new facet.</x:v>
      </x:c>
    </x:row>
    <x:row r="180">
      <x:c r="A180" s="135" t="str">
        <x:v>JW-176</x:v>
      </x:c>
      <x:c r="B180" s="135" t="str">
        <x:v>Quality &amp; Performance</x:v>
      </x:c>
      <x:c r="C180" s="135" t="str">
        <x:v>Production build</x:v>
      </x:c>
      <x:c r="D180" s="136" t="str">
        <x:v>Optimized Next.js build</x:v>
      </x:c>
      <x:c r="E180" s="136" t="str">
        <x:v>Technical Foundation</x:v>
      </x:c>
      <x:c r="F180" s="136" t="str">
        <x:v>Completed</x:v>
      </x:c>
      <x:c r="G180" s="137" t="n">
        <x:v>1</x:v>
      </x:c>
      <x:c r="H180" s="136" t="str">
        <x:v>Critical</x:v>
      </x:c>
      <x:c r="I180" s="136" t="str">
        <x:v>Stage 6</x:v>
      </x:c>
      <x:c r="J180" s="136" t="str">
        <x:v>Unassigned</x:v>
      </x:c>
      <x:c r="K180" s="136" t="str">
        <x:v>Configured database</x:v>
      </x:c>
      <x:c r="L180" s="136" t="str">
        <x:v>Build succeeds from clean checkout with documented environment.</x:v>
      </x:c>
      <x:c r="M180" s="136" t="str">
        <x:v>Clean npm ci; build with staging DB</x:v>
      </x:c>
      <x:c r="N180" s="136" t="str">
        <x:v>Production build passed on 8 Sep 2026 using build:safe; maximum First Load JS was 128 kB.</x:v>
      </x:c>
      <x:c r="O180" s="136" t="str">
        <x:v>Repeat after Stage 6.1 and at the final launch gate.</x:v>
      </x:c>
    </x:row>
    <x:row r="181">
      <x:c r="A181" s="135" t="str">
        <x:v>JW-177</x:v>
      </x:c>
      <x:c r="B181" s="135" t="str">
        <x:v>Quality &amp; Performance</x:v>
      </x:c>
      <x:c r="C181" s="135" t="str">
        <x:v>Core functional E2E coverage</x:v>
      </x:c>
      <x:c r="D181" s="136" t="str">
        <x:v>Registration through contact, seller listing, dealer and moderation journeys</x:v>
      </x:c>
      <x:c r="E181" s="136" t="str">
        <x:v>Technical Foundation</x:v>
      </x:c>
      <x:c r="F181" s="136" t="str">
        <x:v>Partially Implemented</x:v>
      </x:c>
      <x:c r="G181" s="137" t="n">
        <x:v>0.98</x:v>
      </x:c>
      <x:c r="H181" s="136" t="str">
        <x:v>Critical</x:v>
      </x:c>
      <x:c r="I181" s="136" t="str">
        <x:v>Stage 6</x:v>
      </x:c>
      <x:c r="J181" s="136" t="str">
        <x:v>QA</x:v>
      </x:c>
      <x:c r="K181" s="136" t="str">
        <x:v>E2E framework</x:v>
      </x:c>
      <x:c r="L181" s="136" t="str">
        <x:v>Critical launch journeys run automatically and pass.</x:v>
      </x:c>
      <x:c r="M181" s="136" t="str">
        <x:v>Happy/negative/authz/mobile</x:v>
      </x:c>
      <x:c r="N181" s="136" t="str">
        <x:v>Clean isolated acceptance: 101 browser passes, 1 planned skip, 5 DB checks and 101-route sweep with zero issues. Check, lint and build pass; max First Load JS 128 KB. Eight new desktop/mobile cases cover dealer/service authorization and expiry/reactivation.</x:v>
      </x:c>
      <x:c r="O181" s="136" t="str">
        <x:v>Next: controlled backend failure/retry recovery, deeper conditional/edge cases and live acceptance.</x:v>
      </x:c>
    </x:row>
    <x:row r="182">
      <x:c r="A182" s="135" t="str">
        <x:v>JW-178</x:v>
      </x:c>
      <x:c r="B182" s="135" t="str">
        <x:v>Quality &amp; Performance</x:v>
      </x:c>
      <x:c r="C182" s="135" t="str">
        <x:v>Mobile browser QA</x:v>
      </x:c>
      <x:c r="D182" s="136" t="str">
        <x:v>Chrome Android and Safari iPhone behavior</x:v>
      </x:c>
      <x:c r="E182" s="136" t="str">
        <x:v>Technical Foundation</x:v>
      </x:c>
      <x:c r="F182" s="136" t="str">
        <x:v>Partially Implemented</x:v>
      </x:c>
      <x:c r="G182" s="137" t="n">
        <x:v>0.7</x:v>
      </x:c>
      <x:c r="H182" s="136" t="str">
        <x:v>Critical</x:v>
      </x:c>
      <x:c r="I182" s="136" t="str">
        <x:v>Stage 6</x:v>
      </x:c>
      <x:c r="J182" s="136" t="str">
        <x:v>Unassigned</x:v>
      </x:c>
      <x:c r="K182" s="136" t="str">
        <x:v>Feature-complete staging</x:v>
      </x:c>
      <x:c r="L182" s="136" t="str">
        <x:v>Core journeys work at mobile widths without keyboard, viewport or upload defects.</x:v>
      </x:c>
      <x:c r="M182" s="136" t="str">
        <x:v>Real/simulated devices; slow network</x:v>
      </x:c>
      <x:c r="N182" s="136" t="str">
        <x:v>Simulated Android Chromium covers core seller, dealer, buyer and admin journeys. Added iPhone 13 WebKit smoke checks for mobile navigation, auto-parts search, responsive width, sign-in and car-photo upload; both pass in fresh isolated acceptance. Local HTTP production-mode WebKit needs a test-only session-cookie injection because Secure cookies require HTTPS. CI now installs WebKit alongside Chromium.</x:v>
      </x:c>
      <x:c r="O182" s="136" t="str">
        <x:v>Run real iPhone Safari and Android Chrome on HTTPS staging, including keyboard, camera/file picker, slow network and full posting/contact journeys; local WebKit smoke is not a real-device sign-off.</x:v>
      </x:c>
    </x:row>
    <x:row r="183">
      <x:c r="A183" s="135" t="str">
        <x:v>JW-179</x:v>
      </x:c>
      <x:c r="B183" s="135" t="str">
        <x:v>Quality &amp; Performance</x:v>
      </x:c>
      <x:c r="C183" s="135" t="str">
        <x:v>Accessibility audit</x:v>
      </x:c>
      <x:c r="D183" s="136" t="str">
        <x:v>WCAG-oriented automated and manual review</x:v>
      </x:c>
      <x:c r="E183" s="136" t="str">
        <x:v>Technical Foundation</x:v>
      </x:c>
      <x:c r="F183" s="136" t="str">
        <x:v>Partially Implemented</x:v>
      </x:c>
      <x:c r="G183" s="137" t="n">
        <x:v>0.9</x:v>
      </x:c>
      <x:c r="H183" s="136" t="str">
        <x:v>High</x:v>
      </x:c>
      <x:c r="I183" s="136" t="str">
        <x:v>Stage 6</x:v>
      </x:c>
      <x:c r="J183" s="136" t="str">
        <x:v>Unassigned</x:v>
      </x:c>
      <x:c r="K183" s="136" t="str">
        <x:v>Feature-complete UI</x:v>
      </x:c>
      <x:c r="L183" s="136" t="str">
        <x:v>No critical keyboard, label, focus, contrast or zoom failure remains.</x:v>
      </x:c>
      <x:c r="M183" s="136" t="str">
        <x:v>axe; keyboard; screen reader spot checks</x:v>
      </x:c>
      <x:c r="N183" s="136" t="str">
        <x:v>Automated axe-core audit covers 34 routes across public, seller, dealer, administrator and car/bike/part detail journeys in both viewports. Fixed low-contrast text and phone CTA, form labels and navigation landmarks. Manual assistive-technology/live-device acceptance remains open.</x:v>
      </x:c>
      <x:c r="O183" s="136" t="str">
        <x:v>Complete manual screen-reader, keyboard, zoom and reduced-motion acceptance, then extend automated scans to remaining conditional form states.</x:v>
      </x:c>
    </x:row>
    <x:row r="184">
      <x:c r="A184" s="135" t="str">
        <x:v>JW-180</x:v>
      </x:c>
      <x:c r="B184" s="135" t="str">
        <x:v>Quality &amp; Performance</x:v>
      </x:c>
      <x:c r="C184" s="135" t="str">
        <x:v>Performance budget</x:v>
      </x:c>
      <x:c r="D184" s="136" t="str">
        <x:v>First Load JS under 150 KB and acceptable Core Web Vitals</x:v>
      </x:c>
      <x:c r="E184" s="136" t="str">
        <x:v>Technical Foundation</x:v>
      </x:c>
      <x:c r="F184" s="136" t="str">
        <x:v>Partially Implemented</x:v>
      </x:c>
      <x:c r="G184" s="137" t="n">
        <x:v>0.9</x:v>
      </x:c>
      <x:c r="H184" s="136" t="str">
        <x:v>High</x:v>
      </x:c>
      <x:c r="I184" s="136" t="str">
        <x:v>Stage 6</x:v>
      </x:c>
      <x:c r="J184" s="136" t="str">
        <x:v>QA</x:v>
      </x:c>
      <x:c r="K184" s="136" t="str">
        <x:v>Production-like media/data</x:v>
      </x:c>
      <x:c r="L184" s="136" t="str">
        <x:v>Public routes meet JS budget and agreed LCP/CLS/INP targets on mobile.</x:v>
      </x:c>
      <x:c r="M184" s="136" t="str">
        <x:v>Bundle report; Lighthouse; 4G profile</x:v>
      </x:c>
      <x:c r="N184" s="136" t="str">
        <x:v>a96704b production build has maximum First Load JS 128 KB, below 150 KB. Production media/Web Vitals and representative query/load acceptance remain open.</x:v>
      </x:c>
      <x:c r="O184" s="136" t="str">
        <x:v>Measure Core Web Vitals and browse query/load behavior on production-like staging before launch.</x:v>
      </x:c>
    </x:row>
    <x:row r="185">
      <x:c r="A185" s="135" t="str">
        <x:v>JW-181</x:v>
      </x:c>
      <x:c r="B185" s="135" t="str">
        <x:v>Quality &amp; Performance</x:v>
      </x:c>
      <x:c r="C185" s="135" t="str">
        <x:v>Load testing</x:v>
      </x:c>
      <x:c r="D185" s="136" t="str">
        <x:v>20,000 listings and up to 500 concurrent users</x:v>
      </x:c>
      <x:c r="E185" s="136" t="str">
        <x:v>Technical Foundation</x:v>
      </x:c>
      <x:c r="F185" s="136" t="str">
        <x:v>Pending</x:v>
      </x:c>
      <x:c r="G185" s="137" t="n">
        <x:v>0</x:v>
      </x:c>
      <x:c r="H185" s="136" t="str">
        <x:v>Critical</x:v>
      </x:c>
      <x:c r="I185" s="136" t="str">
        <x:v>Stage 6</x:v>
      </x:c>
      <x:c r="J185" s="136" t="str">
        <x:v>Unassigned</x:v>
      </x:c>
      <x:c r="K185" s="136" t="str">
        <x:v>Production-like staging</x:v>
      </x:c>
      <x:c r="L185" s="136" t="str">
        <x:v>Search, details, login/contact and writes meet response/error thresholds without DB exhaustion.</x:v>
      </x:c>
      <x:c r="M185" s="136" t="str">
        <x:v>Ramp/soak/spike; query plans; pool limits</x:v>
      </x:c>
      <x:c r="N185" s="136" t="str">
        <x:v>No load test performed.</x:v>
      </x:c>
      <x:c r="O185" s="136" t="str">
        <x:v>Create dataset and execute before launch.</x:v>
      </x:c>
    </x:row>
    <x:row r="186">
      <x:c r="A186" s="135" t="str">
        <x:v>JW-182</x:v>
      </x:c>
      <x:c r="B186" s="135" t="str">
        <x:v>Quality &amp; Performance</x:v>
      </x:c>
      <x:c r="C186" s="135" t="str">
        <x:v>Regression checklist</x:v>
      </x:c>
      <x:c r="D186" s="136" t="str">
        <x:v>Repeatable manual acceptance checklist per module</x:v>
      </x:c>
      <x:c r="E186" s="136" t="str">
        <x:v>Technical Foundation</x:v>
      </x:c>
      <x:c r="F186" s="136" t="str">
        <x:v>Partially Implemented</x:v>
      </x:c>
      <x:c r="G186" s="137" t="n">
        <x:v>0.9</x:v>
      </x:c>
      <x:c r="H186" s="136" t="str">
        <x:v>High</x:v>
      </x:c>
      <x:c r="I186" s="136" t="str">
        <x:v>Stage 1</x:v>
      </x:c>
      <x:c r="J186" s="136" t="str">
        <x:v>Unassigned</x:v>
      </x:c>
      <x:c r="K186" s="136" t="str">
        <x:v>Tracker and test cases</x:v>
      </x:c>
      <x:c r="L186" s="136" t="str">
        <x:v>Every completed feature has signed test evidence before merge.</x:v>
      </x:c>
      <x:c r="M186" s="136" t="str">
        <x:v>Checklist review; defect retest</x:v>
      </x:c>
      <x:c r="N186" s="136" t="str">
        <x:v>docs/REGRESSION_CHECKLIST.md now defines a reusable release-candidate record, automated gate, module-by-module manual steps linked to Test Matrix IDs, expected evidence, defect retest and merge sign-off rules. Deployment guide links to it. Local automation is current, but live staging/provider/real-device evidence and reviewer signatures are not yet available.</x:v>
      </x:c>
      <x:c r="O186" s="136" t="str">
        <x:v>Fill the checklist and Test Matrix with candidate-specific staging, Safari/real-device, provider and infrastructure evidence; obtain PR reviewer sign-off before merge.</x:v>
      </x:c>
    </x:row>
    <x:row r="187">
      <x:c r="A187" s="135" t="str">
        <x:v>JW-183</x:v>
      </x:c>
      <x:c r="B187" s="135" t="str">
        <x:v>Content &amp; Legal</x:v>
      </x:c>
      <x:c r="C187" s="135" t="str">
        <x:v>About JaniWheels</x:v>
      </x:c>
      <x:c r="D187" s="136" t="str">
        <x:v>Approved company/marketplace information page</x:v>
      </x:c>
      <x:c r="E187" s="136" t="str">
        <x:v>Signed V1</x:v>
      </x:c>
      <x:c r="F187" s="136" t="str">
        <x:v>Completed</x:v>
      </x:c>
      <x:c r="G187" s="137" t="n">
        <x:v>1</x:v>
      </x:c>
      <x:c r="H187" s="136" t="str">
        <x:v>Medium</x:v>
      </x:c>
      <x:c r="I187" s="136" t="str">
        <x:v>Stage 6</x:v>
      </x:c>
      <x:c r="J187" s="136" t="str">
        <x:v>Unassigned</x:v>
      </x:c>
      <x:c r="K187" s="136" t="str">
        <x:v>Approved copy</x:v>
      </x:c>
      <x:c r="L187" s="136" t="str">
        <x:v>Page is accurate, responsive, indexable and linked from footer.</x:v>
      </x:c>
      <x:c r="M187" s="136" t="str">
        <x:v>Content review; metadata; links</x:v>
      </x:c>
      <x:c r="N187" s="136" t="str">
        <x:v>Implemented on codex/legal-and-content: public page, canonical metadata, footer navigation and automated content checks pass. Full check, lint and production build pass; targeted local HTTP smoke returned 200. Comprehensive visual/responsive QA remains deferred.</x:v>
      </x:c>
      <x:c r="O187" s="136" t="str">
        <x:v>Retain in final content, legal, branding, accessibility and responsive acceptance review.</x:v>
      </x:c>
    </x:row>
    <x:row r="188">
      <x:c r="A188" s="135" t="str">
        <x:v>JW-184</x:v>
      </x:c>
      <x:c r="B188" s="135" t="str">
        <x:v>Content &amp; Legal</x:v>
      </x:c>
      <x:c r="C188" s="135" t="str">
        <x:v>Contact page</x:v>
      </x:c>
      <x:c r="D188" s="136" t="str">
        <x:v>Approved business contact channels and enquiry route</x:v>
      </x:c>
      <x:c r="E188" s="136" t="str">
        <x:v>Signed V1</x:v>
      </x:c>
      <x:c r="F188" s="136" t="str">
        <x:v>Completed</x:v>
      </x:c>
      <x:c r="G188" s="137" t="n">
        <x:v>1</x:v>
      </x:c>
      <x:c r="H188" s="136" t="str">
        <x:v>High</x:v>
      </x:c>
      <x:c r="I188" s="136" t="str">
        <x:v>Stage 6</x:v>
      </x:c>
      <x:c r="J188" s="136" t="str">
        <x:v>Unassigned</x:v>
      </x:c>
      <x:c r="K188" s="136" t="str">
        <x:v>Contact details/process</x:v>
      </x:c>
      <x:c r="L188" s="136" t="str">
        <x:v>Visitors can contact JaniWheels and submissions reach the responsible team.</x:v>
      </x:c>
      <x:c r="M188" s="136" t="str">
        <x:v>Validation; spam; delivery; privacy</x:v>
      </x:c>
      <x:c r="N188" s="136" t="str">
        <x:v>Implemented on codex/legal-and-content: public page, canonical metadata, footer navigation and automated content checks pass. Full check, lint and production build pass; targeted local HTTP smoke returned 200. Comprehensive visual/responsive QA remains deferred.</x:v>
      </x:c>
      <x:c r="O188" s="136" t="str">
        <x:v>Retain in final content, legal, branding, accessibility and responsive acceptance review.</x:v>
      </x:c>
    </x:row>
    <x:row r="189">
      <x:c r="A189" s="135" t="str">
        <x:v>JW-185</x:v>
      </x:c>
      <x:c r="B189" s="135" t="str">
        <x:v>Content &amp; Legal</x:v>
      </x:c>
      <x:c r="C189" s="135" t="str">
        <x:v>Terms and Conditions</x:v>
      </x:c>
      <x:c r="D189" s="136" t="str">
        <x:v>Marketplace usage, listings, moderation and liability terms</x:v>
      </x:c>
      <x:c r="E189" s="136" t="str">
        <x:v>Signed V1</x:v>
      </x:c>
      <x:c r="F189" s="136" t="str">
        <x:v>Completed</x:v>
      </x:c>
      <x:c r="G189" s="137" t="n">
        <x:v>1</x:v>
      </x:c>
      <x:c r="H189" s="136" t="str">
        <x:v>Critical</x:v>
      </x:c>
      <x:c r="I189" s="136" t="str">
        <x:v>Stage 6</x:v>
      </x:c>
      <x:c r="J189" s="136" t="str">
        <x:v>Unassigned</x:v>
      </x:c>
      <x:c r="K189" s="136" t="str">
        <x:v>Legal approval</x:v>
      </x:c>
      <x:c r="L189" s="136" t="str">
        <x:v>Approved terms are accessible, versioned and linked at account/listing touchpoints where needed.</x:v>
      </x:c>
      <x:c r="M189" s="136" t="str">
        <x:v>Link/metadata/version review</x:v>
      </x:c>
      <x:c r="N189" s="136" t="str">
        <x:v>Implemented on codex/legal-and-content: public page, canonical metadata, footer navigation and automated content checks pass. Full check, lint and production build pass; targeted local HTTP smoke returned 200. Comprehensive visual/responsive QA remains deferred.</x:v>
      </x:c>
      <x:c r="O189" s="136" t="str">
        <x:v>Retain in final content, legal, branding, accessibility and responsive acceptance review.</x:v>
      </x:c>
    </x:row>
    <x:row r="190">
      <x:c r="A190" s="135" t="str">
        <x:v>JW-186</x:v>
      </x:c>
      <x:c r="B190" s="135" t="str">
        <x:v>Content &amp; Legal</x:v>
      </x:c>
      <x:c r="C190" s="135" t="str">
        <x:v>Privacy Policy</x:v>
      </x:c>
      <x:c r="D190" s="136" t="str">
        <x:v>Data collection, cookies, contact and retention disclosures</x:v>
      </x:c>
      <x:c r="E190" s="136" t="str">
        <x:v>Signed V1</x:v>
      </x:c>
      <x:c r="F190" s="136" t="str">
        <x:v>Completed</x:v>
      </x:c>
      <x:c r="G190" s="137" t="n">
        <x:v>1</x:v>
      </x:c>
      <x:c r="H190" s="136" t="str">
        <x:v>Critical</x:v>
      </x:c>
      <x:c r="I190" s="136" t="str">
        <x:v>Stage 6</x:v>
      </x:c>
      <x:c r="J190" s="136" t="str">
        <x:v>Unassigned</x:v>
      </x:c>
      <x:c r="K190" s="136" t="str">
        <x:v>Legal/privacy review</x:v>
      </x:c>
      <x:c r="L190" s="136" t="str">
        <x:v>Approved policy matches implemented data flows and is linked globally.</x:v>
      </x:c>
      <x:c r="M190" s="136" t="str">
        <x:v>Data inventory reconciliation; link test</x:v>
      </x:c>
      <x:c r="N190" s="136" t="str">
        <x:v>Implemented on codex/legal-and-content: public page, canonical metadata, footer navigation and automated content checks pass. Full check, lint and production build pass; targeted local HTTP smoke returned 200. Comprehensive visual/responsive QA remains deferred.</x:v>
      </x:c>
      <x:c r="O190" s="136" t="str">
        <x:v>Retain in final content, legal, branding, accessibility and responsive acceptance review.</x:v>
      </x:c>
    </x:row>
    <x:row r="191">
      <x:c r="A191" s="135" t="str">
        <x:v>JW-187</x:v>
      </x:c>
      <x:c r="B191" s="135" t="str">
        <x:v>Content &amp; Legal</x:v>
      </x:c>
      <x:c r="C191" s="135" t="str">
        <x:v>Safety information</x:v>
      </x:c>
      <x:c r="D191" s="136" t="str">
        <x:v>Buyer/seller fraud-prevention guidance</x:v>
      </x:c>
      <x:c r="E191" s="136" t="str">
        <x:v>Signed V1</x:v>
      </x:c>
      <x:c r="F191" s="136" t="str">
        <x:v>Completed</x:v>
      </x:c>
      <x:c r="G191" s="137" t="n">
        <x:v>1</x:v>
      </x:c>
      <x:c r="H191" s="136" t="str">
        <x:v>High</x:v>
      </x:c>
      <x:c r="I191" s="136" t="str">
        <x:v>Stage 6</x:v>
      </x:c>
      <x:c r="J191" s="136" t="str">
        <x:v>Unassigned</x:v>
      </x:c>
      <x:c r="K191" s="136" t="str">
        <x:v>Approved safety content</x:v>
      </x:c>
      <x:c r="L191" s="136" t="str">
        <x:v>Dedicated accessible page provides accurate guidance and reporting route.</x:v>
      </x:c>
      <x:c r="M191" s="136" t="str">
        <x:v>Content accuracy; mobile; links</x:v>
      </x:c>
      <x:c r="N191" s="136" t="str">
        <x:v>Implemented on codex/legal-and-content: public page, canonical metadata, footer navigation and automated content checks pass. Full check, lint and production build pass; targeted local HTTP smoke returned 200. Comprehensive visual/responsive QA remains deferred.</x:v>
      </x:c>
      <x:c r="O191" s="136" t="str">
        <x:v>Retain in final content, legal, branding, accessibility and responsive acceptance review.</x:v>
      </x:c>
    </x:row>
    <x:row r="192">
      <x:c r="A192" s="135" t="str">
        <x:v>JW-188</x:v>
      </x:c>
      <x:c r="B192" s="135" t="str">
        <x:v>Content &amp; Legal</x:v>
      </x:c>
      <x:c r="C192" s="135" t="str">
        <x:v>Report a concern page</x:v>
      </x:c>
      <x:c r="D192" s="136" t="str">
        <x:v>General concern/contact path beyond a listing-specific report</x:v>
      </x:c>
      <x:c r="E192" s="136" t="str">
        <x:v>Signed V1</x:v>
      </x:c>
      <x:c r="F192" s="136" t="str">
        <x:v>Completed</x:v>
      </x:c>
      <x:c r="G192" s="137" t="n">
        <x:v>1</x:v>
      </x:c>
      <x:c r="H192" s="136" t="str">
        <x:v>Medium</x:v>
      </x:c>
      <x:c r="I192" s="136" t="str">
        <x:v>Stage 6</x:v>
      </x:c>
      <x:c r="J192" s="136" t="str">
        <x:v>Unassigned</x:v>
      </x:c>
      <x:c r="K192" s="136" t="str">
        <x:v>Contact/moderation workflow</x:v>
      </x:c>
      <x:c r="L192" s="136" t="str">
        <x:v>Concern reaches staff with classification and reference without exposing sensitive data.</x:v>
      </x:c>
      <x:c r="M192" s="136" t="str">
        <x:v>Validation; spam; delivery; status</x:v>
      </x:c>
      <x:c r="N192" s="136" t="str">
        <x:v>Implemented on codex/legal-and-content: public page, canonical metadata, footer navigation and automated content checks pass. Full check, lint and production build pass; targeted local HTTP smoke returned 200. Comprehensive visual/responsive QA remains deferred.</x:v>
      </x:c>
      <x:c r="O192" s="136" t="str">
        <x:v>Retain in final content, legal, branding, accessibility and responsive acceptance review.</x:v>
      </x:c>
    </x:row>
    <x:row r="193">
      <x:c r="A193" s="135" t="str">
        <x:v>JW-189</x:v>
      </x:c>
      <x:c r="B193" s="135" t="str">
        <x:v>Content &amp; Legal</x:v>
      </x:c>
      <x:c r="C193" s="135" t="str">
        <x:v>Social profile links</x:v>
      </x:c>
      <x:c r="D193" s="136" t="str">
        <x:v>Approved JaniWheels social media URLs</x:v>
      </x:c>
      <x:c r="E193" s="136" t="str">
        <x:v>Signed V1</x:v>
      </x:c>
      <x:c r="F193" s="136" t="str">
        <x:v>Completed</x:v>
      </x:c>
      <x:c r="G193" s="137" t="n">
        <x:v>1</x:v>
      </x:c>
      <x:c r="H193" s="136" t="str">
        <x:v>Low</x:v>
      </x:c>
      <x:c r="I193" s="136" t="str">
        <x:v>Stage 6</x:v>
      </x:c>
      <x:c r="J193" s="136" t="str">
        <x:v>Unassigned</x:v>
      </x:c>
      <x:c r="K193" s="136" t="str">
        <x:v>Official profile URLs</x:v>
      </x:c>
      <x:c r="L193" s="136" t="str">
        <x:v>Only official active profiles are linked and open safely.</x:v>
      </x:c>
      <x:c r="M193" s="136" t="str">
        <x:v>All links; icons; accessibility</x:v>
      </x:c>
      <x:c r="N193" s="136" t="str">
        <x:v>Implemented on codex/legal-and-content: public page, canonical metadata, footer navigation and automated content checks pass. Full check, lint and production build pass; targeted local HTTP smoke returned 200. Comprehensive visual/responsive QA remains deferred.</x:v>
      </x:c>
      <x:c r="O193" s="136" t="str">
        <x:v>Retain in final content, legal, branding, accessibility and responsive acceptance review.</x:v>
      </x:c>
    </x:row>
    <x:row r="194">
      <x:c r="A194" s="135" t="str">
        <x:v>JW-190</x:v>
      </x:c>
      <x:c r="B194" s="135" t="str">
        <x:v>Deployment &amp; Operations</x:v>
      </x:c>
      <x:c r="C194" s="135" t="str">
        <x:v>Production hosting</x:v>
      </x:c>
      <x:c r="D194" s="136" t="str">
        <x:v>Deploy Next.js application on approved infrastructure</x:v>
      </x:c>
      <x:c r="E194" s="136" t="str">
        <x:v>Technical Foundation</x:v>
      </x:c>
      <x:c r="F194" s="136" t="str">
        <x:v>Pending</x:v>
      </x:c>
      <x:c r="G194" s="137" t="n">
        <x:v>0</x:v>
      </x:c>
      <x:c r="H194" s="136" t="str">
        <x:v>Critical</x:v>
      </x:c>
      <x:c r="I194" s="136" t="str">
        <x:v>Stage 6</x:v>
      </x:c>
      <x:c r="J194" s="136" t="str">
        <x:v>Unassigned</x:v>
      </x:c>
      <x:c r="K194" s="136" t="str">
        <x:v>Hosting decision</x:v>
      </x:c>
      <x:c r="L194" s="136" t="str">
        <x:v>HTTPS application serves all routes with correct environment and scaling.</x:v>
      </x:c>
      <x:c r="M194" s="136" t="str">
        <x:v>Deployment smoke; restart; rollback</x:v>
      </x:c>
      <x:c r="N194" s="136" t="str">
        <x:v>No production deployment is documented as complete.</x:v>
      </x:c>
      <x:c r="O194" s="136" t="str">
        <x:v>Select and configure hosting.</x:v>
      </x:c>
    </x:row>
    <x:row r="195">
      <x:c r="A195" s="135" t="str">
        <x:v>JW-191</x:v>
      </x:c>
      <x:c r="B195" s="135" t="str">
        <x:v>Deployment &amp; Operations</x:v>
      </x:c>
      <x:c r="C195" s="135" t="str">
        <x:v>Production PostgreSQL</x:v>
      </x:c>
      <x:c r="D195" s="136" t="str">
        <x:v>Managed/secured database with pooling and migration process</x:v>
      </x:c>
      <x:c r="E195" s="136" t="str">
        <x:v>Technical Foundation</x:v>
      </x:c>
      <x:c r="F195" s="136" t="str">
        <x:v>Pending</x:v>
      </x:c>
      <x:c r="G195" s="137" t="n">
        <x:v>0</x:v>
      </x:c>
      <x:c r="H195" s="136" t="str">
        <x:v>Critical</x:v>
      </x:c>
      <x:c r="I195" s="136" t="str">
        <x:v>Stage 6</x:v>
      </x:c>
      <x:c r="J195" s="136" t="str">
        <x:v>Unassigned</x:v>
      </x:c>
      <x:c r="K195" s="136" t="str">
        <x:v>Database provider</x:v>
      </x:c>
      <x:c r="L195" s="136" t="str">
        <x:v>Backups, access controls, pooling and migration runbook are operational.</x:v>
      </x:c>
      <x:c r="M195" s="136" t="str">
        <x:v>Connection limits; migration; restore; failover</x:v>
      </x:c>
      <x:c r="N195" s="136" t="str">
        <x:v>Local PostgreSQL is working; production DB not configured.</x:v>
      </x:c>
      <x:c r="O195" s="136" t="str">
        <x:v>Provision staging then production database.</x:v>
      </x:c>
    </x:row>
    <x:row r="196">
      <x:c r="A196" s="135" t="str">
        <x:v>JW-192</x:v>
      </x:c>
      <x:c r="B196" s="135" t="str">
        <x:v>Deployment &amp; Operations</x:v>
      </x:c>
      <x:c r="C196" s="135" t="str">
        <x:v>Production image storage</x:v>
      </x:c>
      <x:c r="D196" s="136" t="str">
        <x:v>Durable CDN-backed media provider</x:v>
      </x:c>
      <x:c r="E196" s="136" t="str">
        <x:v>Technical Foundation</x:v>
      </x:c>
      <x:c r="F196" s="136" t="str">
        <x:v>Pending</x:v>
      </x:c>
      <x:c r="G196" s="137" t="n">
        <x:v>0</x:v>
      </x:c>
      <x:c r="H196" s="136" t="str">
        <x:v>Critical</x:v>
      </x:c>
      <x:c r="I196" s="136" t="str">
        <x:v>Stage 6</x:v>
      </x:c>
      <x:c r="J196" s="136" t="str">
        <x:v>DevOps</x:v>
      </x:c>
      <x:c r="K196" s="136" t="str">
        <x:v>Cloudflare or implemented provider</x:v>
      </x:c>
      <x:c r="L196" s="136" t="str">
        <x:v>Uploads survive deployments and load through correct public URLs.</x:v>
      </x:c>
      <x:c r="M196" s="136" t="str">
        <x:v>Upload/display/delete; cache; failure</x:v>
      </x:c>
      <x:c r="N196" s="136" t="str">
        <x:v>Cloudflare adapter exists under JW-083, but no durable staging/production media service is verified. Local storage is development-only; private/signed Cloudflare delivery is an unresolved implementation gate.</x:v>
      </x:c>
      <x:c r="O196" s="136" t="str">
        <x:v>Complete JW-083 private delivery and configure durable storage; verify upload/read/delete across deployment and restart.</x:v>
      </x:c>
    </x:row>
    <x:row r="197">
      <x:c r="A197" s="135" t="str">
        <x:v>JW-193</x:v>
      </x:c>
      <x:c r="B197" s="135" t="str">
        <x:v>Deployment &amp; Operations</x:v>
      </x:c>
      <x:c r="C197" s="135" t="str">
        <x:v>Domain and HTTPS</x:v>
      </x:c>
      <x:c r="D197" s="136" t="str">
        <x:v>janiwheels.com canonical origin and TLS</x:v>
      </x:c>
      <x:c r="E197" s="136" t="str">
        <x:v>Technical Foundation</x:v>
      </x:c>
      <x:c r="F197" s="136" t="str">
        <x:v>Launch Configuration Pending</x:v>
      </x:c>
      <x:c r="G197" s="137" t="n">
        <x:v>0.6</x:v>
      </x:c>
      <x:c r="H197" s="136" t="str">
        <x:v>Critical</x:v>
      </x:c>
      <x:c r="I197" s="136" t="str">
        <x:v>Stage 6</x:v>
      </x:c>
      <x:c r="J197" s="136" t="str">
        <x:v>Unassigned</x:v>
      </x:c>
      <x:c r="K197" s="136" t="str">
        <x:v>DNS/hosting</x:v>
      </x:c>
      <x:c r="L197" s="136" t="str">
        <x:v>All HTTP/alternate hosts redirect to one HTTPS canonical origin.</x:v>
      </x:c>
      <x:c r="M197" s="136" t="str">
        <x:v>DNS; SSL; www/non-www; canonical tags</x:v>
      </x:c>
      <x:c r="N197" s="136" t="str">
        <x:v>Domain exists, but application production deployment is not verified.</x:v>
      </x:c>
      <x:c r="O197" s="136" t="str">
        <x:v>Configure after hosting selection.</x:v>
      </x:c>
    </x:row>
    <x:row r="198">
      <x:c r="A198" s="135" t="str">
        <x:v>JW-194</x:v>
      </x:c>
      <x:c r="B198" s="135" t="str">
        <x:v>Deployment &amp; Operations</x:v>
      </x:c>
      <x:c r="C198" s="135" t="str">
        <x:v>Database backups</x:v>
      </x:c>
      <x:c r="D198" s="136" t="str">
        <x:v>Automated backups and tested restore</x:v>
      </x:c>
      <x:c r="E198" s="136" t="str">
        <x:v>Technical Foundation</x:v>
      </x:c>
      <x:c r="F198" s="136" t="str">
        <x:v>Pending</x:v>
      </x:c>
      <x:c r="G198" s="137" t="n">
        <x:v>0</x:v>
      </x:c>
      <x:c r="H198" s="136" t="str">
        <x:v>Critical</x:v>
      </x:c>
      <x:c r="I198" s="136" t="str">
        <x:v>Stage 6</x:v>
      </x:c>
      <x:c r="J198" s="136" t="str">
        <x:v>Unassigned</x:v>
      </x:c>
      <x:c r="K198" s="136" t="str">
        <x:v>Production DB</x:v>
      </x:c>
      <x:c r="L198" s="136" t="str">
        <x:v>Backup schedule meets recovery targets and restore test succeeds.</x:v>
      </x:c>
      <x:c r="M198" s="136" t="str">
        <x:v>Restore drill; retention; encryption</x:v>
      </x:c>
      <x:c r="N198" s="136" t="str">
        <x:v>Not configured.</x:v>
      </x:c>
      <x:c r="O198" s="136" t="str">
        <x:v>Implement before production data.</x:v>
      </x:c>
    </x:row>
    <x:row r="199">
      <x:c r="A199" s="135" t="str">
        <x:v>JW-195</x:v>
      </x:c>
      <x:c r="B199" s="135" t="str">
        <x:v>Deployment &amp; Operations</x:v>
      </x:c>
      <x:c r="C199" s="135" t="str">
        <x:v>Logging and error monitoring</x:v>
      </x:c>
      <x:c r="D199" s="136" t="str">
        <x:v>Centralized server errors and alerting</x:v>
      </x:c>
      <x:c r="E199" s="136" t="str">
        <x:v>Technical Foundation</x:v>
      </x:c>
      <x:c r="F199" s="136" t="str">
        <x:v>Pending</x:v>
      </x:c>
      <x:c r="G199" s="137" t="n">
        <x:v>0</x:v>
      </x:c>
      <x:c r="H199" s="136" t="str">
        <x:v>Critical</x:v>
      </x:c>
      <x:c r="I199" s="136" t="str">
        <x:v>Stage 6</x:v>
      </x:c>
      <x:c r="J199" s="136" t="str">
        <x:v>Unassigned</x:v>
      </x:c>
      <x:c r="K199" s="136" t="str">
        <x:v>Hosting/monitoring provider</x:v>
      </x:c>
      <x:c r="L199" s="136" t="str">
        <x:v>Unhandled failures are captured with useful context but no secrets.</x:v>
      </x:c>
      <x:c r="M199" s="136" t="str">
        <x:v>Synthetic error; alert delivery; PII review</x:v>
      </x:c>
      <x:c r="N199" s="136" t="str">
        <x:v>Only console logging exists.</x:v>
      </x:c>
      <x:c r="O199" s="136" t="str">
        <x:v>Configure structured logs and error monitoring.</x:v>
      </x:c>
    </x:row>
    <x:row r="200">
      <x:c r="A200" s="135" t="str">
        <x:v>JW-196</x:v>
      </x:c>
      <x:c r="B200" s="135" t="str">
        <x:v>Deployment &amp; Operations</x:v>
      </x:c>
      <x:c r="C200" s="135" t="str">
        <x:v>Uptime monitoring</x:v>
      </x:c>
      <x:c r="D200" s="136" t="str">
        <x:v>External checks for homepage, APIs and critical journeys</x:v>
      </x:c>
      <x:c r="E200" s="136" t="str">
        <x:v>Technical Foundation</x:v>
      </x:c>
      <x:c r="F200" s="136" t="str">
        <x:v>Pending</x:v>
      </x:c>
      <x:c r="G200" s="137" t="n">
        <x:v>0</x:v>
      </x:c>
      <x:c r="H200" s="136" t="str">
        <x:v>High</x:v>
      </x:c>
      <x:c r="I200" s="136" t="str">
        <x:v>Stage 6</x:v>
      </x:c>
      <x:c r="J200" s="136" t="str">
        <x:v>Unassigned</x:v>
      </x:c>
      <x:c r="K200" s="136" t="str">
        <x:v>Production/staging URL</x:v>
      </x:c>
      <x:c r="L200" s="136" t="str">
        <x:v>Downtime and degraded checks notify the responsible team.</x:v>
      </x:c>
      <x:c r="M200" s="136" t="str">
        <x:v>Failure simulation; alert escalation</x:v>
      </x:c>
      <x:c r="N200" s="136" t="str">
        <x:v>Not configured.</x:v>
      </x:c>
      <x:c r="O200" s="136" t="str">
        <x:v>Add after staging is live.</x:v>
      </x:c>
    </x:row>
    <x:row r="201">
      <x:c r="A201" s="135" t="str">
        <x:v>JW-197</x:v>
      </x:c>
      <x:c r="B201" s="135" t="str">
        <x:v>Deployment &amp; Operations</x:v>
      </x:c>
      <x:c r="C201" s="135" t="str">
        <x:v>Cron scheduling</x:v>
      </x:c>
      <x:c r="D201" s="136" t="str">
        <x:v>Invoke expiry and session cleanup jobs securely</x:v>
      </x:c>
      <x:c r="E201" s="136" t="str">
        <x:v>Technical Foundation</x:v>
      </x:c>
      <x:c r="F201" s="136" t="str">
        <x:v>Pending</x:v>
      </x:c>
      <x:c r="G201" s="137" t="n">
        <x:v>0</x:v>
      </x:c>
      <x:c r="H201" s="136" t="str">
        <x:v>High</x:v>
      </x:c>
      <x:c r="I201" s="136" t="str">
        <x:v>Stage 6</x:v>
      </x:c>
      <x:c r="J201" s="136" t="str">
        <x:v>Unassigned</x:v>
      </x:c>
      <x:c r="K201" s="136" t="str">
        <x:v>Hosting scheduler and CRON_SECRET</x:v>
      </x:c>
      <x:c r="L201" s="136" t="str">
        <x:v>Jobs run on schedule, authenticate, report outcomes and alert on failure.</x:v>
      </x:c>
      <x:c r="M201" s="136" t="str">
        <x:v>Authorized/unauthorized; missed run; retry</x:v>
      </x:c>
      <x:c r="N201" s="136" t="str">
        <x:v>Protected purge-expired endpoint now has browser/DB acceptance for orphan media cleanup. Production schedule, credentials, monitoring and alerting remain unconfigured.</x:v>
      </x:c>
      <x:c r="O201" s="136" t="str">
        <x:v>Configure in staging and monitor.</x:v>
      </x:c>
    </x:row>
    <x:row r="202">
      <x:c r="A202" s="135" t="str">
        <x:v>JW-198</x:v>
      </x:c>
      <x:c r="B202" s="135" t="str">
        <x:v>Deployment &amp; Operations</x:v>
      </x:c>
      <x:c r="C202" s="135" t="str">
        <x:v>Analytics/measurement</x:v>
      </x:c>
      <x:c r="D202" s="136" t="str">
        <x:v>Approved privacy-conscious traffic and conversion measurement</x:v>
      </x:c>
      <x:c r="E202" s="136" t="str">
        <x:v>Technical Foundation</x:v>
      </x:c>
      <x:c r="F202" s="136" t="str">
        <x:v>Partially Implemented</x:v>
      </x:c>
      <x:c r="G202" s="137" t="n">
        <x:v>0.4</x:v>
      </x:c>
      <x:c r="H202" s="136" t="str">
        <x:v>Medium</x:v>
      </x:c>
      <x:c r="I202" s="136" t="str">
        <x:v>Stage 6</x:v>
      </x:c>
      <x:c r="J202" s="136" t="str">
        <x:v>Unassigned</x:v>
      </x:c>
      <x:c r="K202" s="136" t="str">
        <x:v>Analytics decision/privacy policy</x:v>
      </x:c>
      <x:c r="L202" s="136" t="str">
        <x:v>Page traffic and lead conversions are measurable without claiming advanced BI.</x:v>
      </x:c>
      <x:c r="M202" s="136" t="str">
        <x:v>Event accuracy; consent; duplicate events</x:v>
      </x:c>
      <x:c r="N202" s="136" t="str">
        <x:v>Lead events exist; no approved site analytics configuration shown.</x:v>
      </x:c>
      <x:c r="O202" s="136" t="str">
        <x:v>Define basic V1 measurement plan.</x:v>
      </x:c>
    </x:row>
    <x:row r="203">
      <x:c r="A203" s="135" t="str">
        <x:v>JW-199</x:v>
      </x:c>
      <x:c r="B203" s="135" t="str">
        <x:v>Deployment &amp; Operations</x:v>
      </x:c>
      <x:c r="C203" s="135" t="str">
        <x:v>Launch smoke test</x:v>
      </x:c>
      <x:c r="D203" s="136" t="str">
        <x:v>End-to-end production validation immediately before/after go-live</x:v>
      </x:c>
      <x:c r="E203" s="136" t="str">
        <x:v>Technical Foundation</x:v>
      </x:c>
      <x:c r="F203" s="136" t="str">
        <x:v>Pending</x:v>
      </x:c>
      <x:c r="G203" s="137" t="n">
        <x:v>0</x:v>
      </x:c>
      <x:c r="H203" s="136" t="str">
        <x:v>Critical</x:v>
      </x:c>
      <x:c r="I203" s="136" t="str">
        <x:v>Stage 6</x:v>
      </x:c>
      <x:c r="J203" s="136" t="str">
        <x:v>Unassigned</x:v>
      </x:c>
      <x:c r="K203" s="136" t="str">
        <x:v>Feature-complete production</x:v>
      </x:c>
      <x:c r="L203" s="136" t="str">
        <x:v>All critical public, seller, dealer, admin and assistance journeys pass with real services.</x:v>
      </x:c>
      <x:c r="M203" s="136" t="str">
        <x:v>Runbook with evidence and rollback gate</x:v>
      </x:c>
      <x:c r="N203" s="136" t="str">
        <x:v>Not yet applicable.</x:v>
      </x:c>
      <x:c r="O203" s="136" t="str">
        <x:v>Execute only after all critical tracker items are closed.</x:v>
      </x:c>
    </x:row>
    <x:row r="204">
      <x:c r="A204" s="135" t="str">
        <x:v>JW-200</x:v>
      </x:c>
      <x:c r="B204" s="135" t="str">
        <x:v>Excluded Scope</x:v>
      </x:c>
      <x:c r="C204" s="135" t="str">
        <x:v>Payments</x:v>
      </x:c>
      <x:c r="D204" s="136" t="str">
        <x:v>JazzCash, Easypaisa, card processing, callbacks and billing</x:v>
      </x:c>
      <x:c r="E204" s="136" t="str">
        <x:v>Excluded / Change Request</x:v>
      </x:c>
      <x:c r="F204" s="136" t="str">
        <x:v>Out of Scope / Removed</x:v>
      </x:c>
      <x:c r="G204" s="137" t="n">
        <x:v>1</x:v>
      </x:c>
      <x:c r="H204" s="136" t="str">
        <x:v>Do Not Build</x:v>
      </x:c>
      <x:c r="I204" s="136" t="str">
        <x:v>Excluded</x:v>
      </x:c>
      <x:c r="J204" s="136" t="str">
        <x:v>Unassigned</x:v>
      </x:c>
      <x:c r="K204" s="136" t="str">
        <x:v>Signed change request</x:v>
      </x:c>
      <x:c r="L204" s="136" t="str">
        <x:v>No payment code, keys, routes or UI in V1.</x:v>
      </x:c>
      <x:c r="M204" s="136" t="str">
        <x:v>Repository scan; route scan; dependency scan</x:v>
      </x:c>
      <x:c r="N204" s="136" t="str">
        <x:v>Removed on scope-alignment branch.</x:v>
      </x:c>
      <x:c r="O204" s="136" t="str">
        <x:v>Do not reintroduce without signed scope change.</x:v>
      </x:c>
    </x:row>
    <x:row r="205">
      <x:c r="A205" s="135" t="str">
        <x:v>JW-201</x:v>
      </x:c>
      <x:c r="B205" s="135" t="str">
        <x:v>Excluded Scope</x:v>
      </x:c>
      <x:c r="C205" s="135" t="str">
        <x:v>Featured ads</x:v>
      </x:c>
      <x:c r="D205" s="136" t="str">
        <x:v>Paid promotions, bumps and promoted ranking</x:v>
      </x:c>
      <x:c r="E205" s="136" t="str">
        <x:v>Excluded / Change Request</x:v>
      </x:c>
      <x:c r="F205" s="136" t="str">
        <x:v>Out of Scope / Removed</x:v>
      </x:c>
      <x:c r="G205" s="137" t="n">
        <x:v>1</x:v>
      </x:c>
      <x:c r="H205" s="136" t="str">
        <x:v>Do Not Build</x:v>
      </x:c>
      <x:c r="I205" s="136" t="str">
        <x:v>Excluded</x:v>
      </x:c>
      <x:c r="J205" s="136" t="str">
        <x:v>Unassigned</x:v>
      </x:c>
      <x:c r="K205" s="136" t="str">
        <x:v>Signed change request</x:v>
      </x:c>
      <x:c r="L205" s="136" t="str">
        <x:v>Latest listings remain chronological/approved sort without paid placement.</x:v>
      </x:c>
      <x:c r="M205" s="136" t="str">
        <x:v>Search ordering; repository scan</x:v>
      </x:c>
      <x:c r="N205" s="136" t="str">
        <x:v>Removed; homepage uses Latest Listings.</x:v>
      </x:c>
      <x:c r="O205" s="136" t="str">
        <x:v>Do not reintroduce.</x:v>
      </x:c>
    </x:row>
    <x:row r="206">
      <x:c r="A206" s="135" t="str">
        <x:v>JW-202</x:v>
      </x:c>
      <x:c r="B206" s="135" t="str">
        <x:v>Excluded Scope</x:v>
      </x:c>
      <x:c r="C206" s="135" t="str">
        <x:v>Dealer subscriptions</x:v>
      </x:c>
      <x:c r="D206" s="136" t="str">
        <x:v>Plans, recurring billing and paid analytics</x:v>
      </x:c>
      <x:c r="E206" s="136" t="str">
        <x:v>Excluded / Change Request</x:v>
      </x:c>
      <x:c r="F206" s="136" t="str">
        <x:v>Out of Scope / Removed</x:v>
      </x:c>
      <x:c r="G206" s="137" t="n">
        <x:v>1</x:v>
      </x:c>
      <x:c r="H206" s="136" t="str">
        <x:v>Do Not Build</x:v>
      </x:c>
      <x:c r="I206" s="136" t="str">
        <x:v>Excluded</x:v>
      </x:c>
      <x:c r="J206" s="136" t="str">
        <x:v>Unassigned</x:v>
      </x:c>
      <x:c r="K206" s="136" t="str">
        <x:v>Signed change request</x:v>
      </x:c>
      <x:c r="L206" s="136" t="str">
        <x:v>Dealer V1 remains basic profile/storefront/dashboard.</x:v>
      </x:c>
      <x:c r="M206" s="136" t="str">
        <x:v>Repository scan</x:v>
      </x:c>
      <x:c r="N206" s="136" t="str">
        <x:v>Removed.</x:v>
      </x:c>
      <x:c r="O206" s="136" t="str">
        <x:v>Do not reintroduce.</x:v>
      </x:c>
    </x:row>
    <x:row r="207">
      <x:c r="A207" s="135" t="str">
        <x:v>JW-203</x:v>
      </x:c>
      <x:c r="B207" s="135" t="str">
        <x:v>Excluded Scope</x:v>
      </x:c>
      <x:c r="C207" s="135" t="str">
        <x:v>Financing and valuation</x:v>
      </x:c>
      <x:c r="D207" s="136" t="str">
        <x:v>Finance calculator, banking/insurance integration and market-price prediction</x:v>
      </x:c>
      <x:c r="E207" s="136" t="str">
        <x:v>Excluded / Change Request</x:v>
      </x:c>
      <x:c r="F207" s="136" t="str">
        <x:v>Out of Scope / Removed</x:v>
      </x:c>
      <x:c r="G207" s="137" t="n">
        <x:v>1</x:v>
      </x:c>
      <x:c r="H207" s="136" t="str">
        <x:v>Do Not Build</x:v>
      </x:c>
      <x:c r="I207" s="136" t="str">
        <x:v>Excluded</x:v>
      </x:c>
      <x:c r="J207" s="136" t="str">
        <x:v>Unassigned</x:v>
      </x:c>
      <x:c r="K207" s="136" t="str">
        <x:v>Signed change request</x:v>
      </x:c>
      <x:c r="L207" s="136" t="str">
        <x:v>No finance/valuation claims or routes exist.</x:v>
      </x:c>
      <x:c r="M207" s="136" t="str">
        <x:v>Repository and UI scan</x:v>
      </x:c>
      <x:c r="N207" s="136" t="str">
        <x:v>Removed.</x:v>
      </x:c>
      <x:c r="O207" s="136" t="str">
        <x:v>Do not reintroduce.</x:v>
      </x:c>
    </x:row>
    <x:row r="208">
      <x:c r="A208" s="135" t="str">
        <x:v>JW-204</x:v>
      </x:c>
      <x:c r="B208" s="135" t="str">
        <x:v>Excluded Scope</x:v>
      </x:c>
      <x:c r="C208" s="135" t="str">
        <x:v>E-commerce</x:v>
      </x:c>
      <x:c r="D208" s="136" t="str">
        <x:v>Parts cart, checkout, shipping, fulfilment, order tracking and online inventory fulfilment</x:v>
      </x:c>
      <x:c r="E208" s="136" t="str">
        <x:v>Excluded / Change Request</x:v>
      </x:c>
      <x:c r="F208" s="136" t="str">
        <x:v>Out of Scope / Removed</x:v>
      </x:c>
      <x:c r="G208" s="137" t="n">
        <x:v>1</x:v>
      </x:c>
      <x:c r="H208" s="136" t="str">
        <x:v>Do Not Build</x:v>
      </x:c>
      <x:c r="I208" s="136" t="str">
        <x:v>Excluded</x:v>
      </x:c>
      <x:c r="J208" s="136" t="str">
        <x:v>Unassigned</x:v>
      </x:c>
      <x:c r="K208" s="136" t="str">
        <x:v>Signed change request</x:v>
      </x:c>
      <x:c r="L208" s="136" t="str">
        <x:v>Auto Parts remains classified contact only.</x:v>
      </x:c>
      <x:c r="M208" s="136" t="str">
        <x:v>Route/model/UI scan</x:v>
      </x:c>
      <x:c r="N208" s="136" t="str">
        <x:v>No transaction workflow remains.</x:v>
      </x:c>
      <x:c r="O208" s="136" t="str">
        <x:v>Do not reintroduce.</x:v>
      </x:c>
    </x:row>
    <x:row r="209">
      <x:c r="A209" s="135" t="str">
        <x:v>JW-205</x:v>
      </x:c>
      <x:c r="B209" s="135" t="str">
        <x:v>Excluded Scope</x:v>
      </x:c>
      <x:c r="C209" s="135" t="str">
        <x:v>Automatic imports</x:v>
      </x:c>
      <x:c r="D209" s="136" t="str">
        <x:v>CSV scraping, bulk dealer import and third-party feed sync</x:v>
      </x:c>
      <x:c r="E209" s="136" t="str">
        <x:v>Excluded / Change Request</x:v>
      </x:c>
      <x:c r="F209" s="136" t="str">
        <x:v>Out of Scope / Removed</x:v>
      </x:c>
      <x:c r="G209" s="137" t="n">
        <x:v>1</x:v>
      </x:c>
      <x:c r="H209" s="136" t="str">
        <x:v>Do Not Build</x:v>
      </x:c>
      <x:c r="I209" s="136" t="str">
        <x:v>Excluded</x:v>
      </x:c>
      <x:c r="J209" s="136" t="str">
        <x:v>Unassigned</x:v>
      </x:c>
      <x:c r="K209" s="136" t="str">
        <x:v>Signed change request</x:v>
      </x:c>
      <x:c r="L209" s="136" t="str">
        <x:v>All V1 listings are created through approved manual forms.</x:v>
      </x:c>
      <x:c r="M209" s="136" t="str">
        <x:v>API/dependency scan</x:v>
      </x:c>
      <x:c r="N209" s="136" t="str">
        <x:v>Removed.</x:v>
      </x:c>
      <x:c r="O209" s="136" t="str">
        <x:v>Do not reintroduce.</x:v>
      </x:c>
    </x:row>
    <x:row r="210">
      <x:c r="A210" s="135" t="str">
        <x:v>JW-206</x:v>
      </x:c>
      <x:c r="B210" s="135" t="str">
        <x:v>Excluded Scope</x:v>
      </x:c>
      <x:c r="C210" s="135" t="str">
        <x:v>SMS OTP</x:v>
      </x:c>
      <x:c r="D210" s="136" t="str">
        <x:v>Twilio/SMS login and verification</x:v>
      </x:c>
      <x:c r="E210" s="136" t="str">
        <x:v>Excluded / Change Request</x:v>
      </x:c>
      <x:c r="F210" s="136" t="str">
        <x:v>Out of Scope / Removed</x:v>
      </x:c>
      <x:c r="G210" s="137" t="n">
        <x:v>1</x:v>
      </x:c>
      <x:c r="H210" s="136" t="str">
        <x:v>Do Not Build</x:v>
      </x:c>
      <x:c r="I210" s="136" t="str">
        <x:v>Excluded</x:v>
      </x:c>
      <x:c r="J210" s="136" t="str">
        <x:v>Unassigned</x:v>
      </x:c>
      <x:c r="K210" s="136" t="str">
        <x:v>Signed change request</x:v>
      </x:c>
      <x:c r="L210" s="136" t="str">
        <x:v>Authentication remains password-based; recovery must not silently add SMS costs.</x:v>
      </x:c>
      <x:c r="M210" s="136" t="str">
        <x:v>Dependency/env/route scan</x:v>
      </x:c>
      <x:c r="N210" s="136" t="str">
        <x:v>Removed and replaced with password authentication.</x:v>
      </x:c>
      <x:c r="O210" s="136" t="str">
        <x:v>Do not reintroduce.</x:v>
      </x:c>
    </x:row>
    <x:row r="211">
      <x:c r="A211" s="135" t="str">
        <x:v>JW-207</x:v>
      </x:c>
      <x:c r="B211" s="135" t="str">
        <x:v>Excluded Scope</x:v>
      </x:c>
      <x:c r="C211" s="135" t="str">
        <x:v>Inspection workforce tooling</x:v>
      </x:c>
      <x:c r="D211" s="136" t="str">
        <x:v>Packages, pricing, scheduling, inspector assignment, scoring and PDF reports</x:v>
      </x:c>
      <x:c r="E211" s="136" t="str">
        <x:v>Excluded / Change Request</x:v>
      </x:c>
      <x:c r="F211" s="136" t="str">
        <x:v>Out of Scope / Removed</x:v>
      </x:c>
      <x:c r="G211" s="137" t="n">
        <x:v>1</x:v>
      </x:c>
      <x:c r="H211" s="136" t="str">
        <x:v>Do Not Build</x:v>
      </x:c>
      <x:c r="I211" s="136" t="str">
        <x:v>Excluded</x:v>
      </x:c>
      <x:c r="J211" s="136" t="str">
        <x:v>Unassigned</x:v>
      </x:c>
      <x:c r="K211" s="136" t="str">
        <x:v>Signed change request</x:v>
      </x:c>
      <x:c r="L211" s="136" t="str">
        <x:v>Inspection remains a request and manual follow-up service only.</x:v>
      </x:c>
      <x:c r="M211" s="136" t="str">
        <x:v>Schema/route/UI scan</x:v>
      </x:c>
      <x:c r="N211" s="136" t="str">
        <x:v>Removed.</x:v>
      </x:c>
      <x:c r="O211" s="136" t="str">
        <x:v>Do not reintroduce.</x:v>
      </x:c>
    </x:row>
    <x:row r="212">
      <x:c r="A212" s="135" t="str">
        <x:v>JW-208</x:v>
      </x:c>
      <x:c r="B212" s="135" t="str">
        <x:v>Excluded Scope</x:v>
      </x:c>
      <x:c r="C212" s="135" t="str">
        <x:v>Internal live chat</x:v>
      </x:c>
      <x:c r="D212" s="136" t="str">
        <x:v>Buyer-seller chat or WhatsApp Business API automation</x:v>
      </x:c>
      <x:c r="E212" s="136" t="str">
        <x:v>Excluded / Change Request</x:v>
      </x:c>
      <x:c r="F212" s="136" t="str">
        <x:v>Out of Scope / Removed</x:v>
      </x:c>
      <x:c r="G212" s="137" t="n">
        <x:v>1</x:v>
      </x:c>
      <x:c r="H212" s="136" t="str">
        <x:v>Do Not Build</x:v>
      </x:c>
      <x:c r="I212" s="136" t="str">
        <x:v>Excluded</x:v>
      </x:c>
      <x:c r="J212" s="136" t="str">
        <x:v>Unassigned</x:v>
      </x:c>
      <x:c r="K212" s="136" t="str">
        <x:v>Signed change request</x:v>
      </x:c>
      <x:c r="L212" s="136" t="str">
        <x:v>Buyer contacts seller directly by approved phone/WhatsApp link only.</x:v>
      </x:c>
      <x:c r="M212" s="136" t="str">
        <x:v>Route/dependency scan</x:v>
      </x:c>
      <x:c r="N212" s="136" t="str">
        <x:v>Not implemented.</x:v>
      </x:c>
      <x:c r="O212" s="136" t="str">
        <x:v>Do not build in V1.</x:v>
      </x:c>
    </x:row>
    <x:row r="213">
      <x:c r="A213" s="135" t="str">
        <x:v>JW-209</x:v>
      </x:c>
      <x:c r="B213" s="135" t="str">
        <x:v>Excluded Scope</x:v>
      </x:c>
      <x:c r="C213" s="135" t="str">
        <x:v>Advanced platform modules</x:v>
      </x:c>
      <x:c r="D213" s="136" t="str">
        <x:v>CRM, ERP, BI, multilingual and AI recommendation systems</x:v>
      </x:c>
      <x:c r="E213" s="136" t="str">
        <x:v>Excluded / Change Request</x:v>
      </x:c>
      <x:c r="F213" s="136" t="str">
        <x:v>Out of Scope / Removed</x:v>
      </x:c>
      <x:c r="G213" s="137" t="n">
        <x:v>1</x:v>
      </x:c>
      <x:c r="H213" s="136" t="str">
        <x:v>Do Not Build</x:v>
      </x:c>
      <x:c r="I213" s="136" t="str">
        <x:v>Excluded</x:v>
      </x:c>
      <x:c r="J213" s="136" t="str">
        <x:v>Unassigned</x:v>
      </x:c>
      <x:c r="K213" s="136" t="str">
        <x:v>Signed change request</x:v>
      </x:c>
      <x:c r="L213" s="136" t="str">
        <x:v>No hidden scope growth delays the signed marketplace V1.</x:v>
      </x:c>
      <x:c r="M213" s="136" t="str">
        <x:v>Backlog/repository review</x:v>
      </x:c>
      <x:c r="N213" s="136" t="str">
        <x:v>Explicitly outside current architecture guardrail.</x:v>
      </x:c>
      <x:c r="O213" s="136" t="str">
        <x:v>Do not build in V1.</x:v>
      </x:c>
    </x:row>
    <x:row r="214">
      <x:c r="A214" t="str">
        <x:v>JW-210</x:v>
      </x:c>
      <x:c r="B214" t="str">
        <x:v>Authentication</x:v>
      </x:c>
      <x:c r="C214" t="str">
        <x:v>Google-first authentication</x:v>
      </x:c>
      <x:c r="D214" t="str">
        <x:v>Google/Google-based first login with verified email registration as secondary; retain mobile/password for existing users; Facebook and SMS OTP excluded.</x:v>
      </x:c>
      <x:c r="E214" t="str">
        <x:v>V1</x:v>
      </x:c>
      <x:c r="F214" t="str">
        <x:v>Completed</x:v>
      </x:c>
      <x:c r="G214" t="n">
        <x:v>1</x:v>
      </x:c>
      <x:c r="H214" t="str">
        <x:v>Critical</x:v>
      </x:c>
      <x:c r="I214" t="str">
        <x:v>Stage 2</x:v>
      </x:c>
      <x:c r="J214" t="str">
        <x:v>Unassigned</x:v>
      </x:c>
      <x:c r="K214" t="str">
        <x:v>Google OAuth provider and local PostgreSQL</x:v>
      </x:c>
      <x:c r="L214" t="str">
        <x:v>Google callback creates/updates user and session without exposing provider secrets; repair is idempotent.</x:v>
      </x:c>
      <x:c r="M214" t="str">
        <x:v>Google-auth static checks; database repair; local browser callback; full check/lint/build</x:v>
      </x:c>
      <x:c r="N214" t="str">
        <x:v>Google signup succeeded locally on 8 Sep 2026 after repairing schema drift. Root cause was missing users.updated_at (PostgreSQL 42703). Repair and regression check now cover the column; 12/12 Google-auth checks, full check, lint and build:safe passed.</x:v>
      </x:c>
      <x:c r="O214" t="str">
        <x:v>Keep secrets unchanged; repeat provider/browser acceptance at final QA and production configuration.</x:v>
      </x:c>
    </x:row>
    <x:row r="215">
      <x:c r="A215" t="str">
        <x:v>JW-211</x:v>
      </x:c>
      <x:c r="B215" t="str">
        <x:v>Listing Creation</x:v>
      </x:c>
      <x:c r="C215" t="str">
        <x:v>Approximate map-based ad location</x:v>
      </x:c>
      <x:c r="D215" t="str">
        <x:v>Allow seller to select an approximate map/location in V1. Store exact location privately; expose only an approved approximate area publicly.</x:v>
      </x:c>
      <x:c r="E215" t="str">
        <x:v>V1</x:v>
      </x:c>
      <x:c r="F215" t="str">
        <x:v>Partially Implemented</x:v>
      </x:c>
      <x:c r="G215" t="n">
        <x:v>0.9</x:v>
      </x:c>
      <x:c r="H215" t="str">
        <x:v>High</x:v>
      </x:c>
      <x:c r="I215" t="str">
        <x:v>Stage 2</x:v>
      </x:c>
      <x:c r="J215" t="str">
        <x:v>Unassigned</x:v>
      </x:c>
      <x:c r="K215" t="str">
        <x:v>Location privacy model, map provider and listing forms</x:v>
      </x:c>
      <x:c r="L215" t="str">
        <x:v>Seller can choose location, exact coordinates are access-controlled, public pages reveal only approximate area, and removal/editing is supported.</x:v>
      </x:c>
      <x:c r="M215" t="str">
        <x:v>Privacy/security review; DB acceptance; create/edit/detail tests; final responsive browser QA</x:v>
      </x:c>
      <x:c r="N215" t="str">
        <x:v>Privacy-safe map storage and approximate public output are merged on main. Regression checks passed 30 Sep. Google Maps configuration exists locally; billing and live browser acceptance remain unresolved.</x:v>
      </x:c>
      <x:c r="O215" t="str">
        <x:v>Enable billing without exposing the key; test car/bike/parts create, edit and public detail, then verify exact coordinates remain private.</x:v>
      </x:c>
    </x:row>
  </x:sheetData>
  <x:mergeCells>
    <x:mergeCell ref="A1:O1"/>
    <x:mergeCell ref="A2:O2"/>
  </x:mergeCells>
  <x:conditionalFormatting sqref="F5:F213">
    <x:cfRule type="containsText" dxfId="0" priority="1" operator="containsText" text="Completed"/>
    <x:cfRule type="containsText" dxfId="1" priority="2" operator="containsText" text="Feature Branch"/>
    <x:cfRule type="containsText" dxfId="2" priority="3" operator="containsText" text="Partially"/>
    <x:cfRule type="containsText" dxfId="3" priority="4" operator="containsText" text="Data Layer"/>
    <x:cfRule type="containsText" dxfId="4" priority="5" operator="containsText" text="Requires Correction"/>
    <x:cfRule type="containsText" dxfId="5" priority="6" operator="containsText" text="Pending"/>
    <x:cfRule type="containsText" dxfId="6" priority="7" operator="containsText" text="Out of Scope"/>
  </x:conditionalFormatting>
  <x:conditionalFormatting sqref="G5:G213">
    <x:cfRule type="dataBar" priority="8">
      <x:dataBar>
        <x:cfvo type="min"/>
        <x:cfvo type="max"/>
        <x:color rgb="FFF7B500"/>
      </x:dataBar>
      <x:extLst>
        <x:ext xmlns:x14="http://schemas.microsoft.com/office/spreadsheetml/2009/9/main" uri="{B025F937-C7B1-47D3-B67F-A62EFF666E3E}">
          <x14:id>{2CE813AB-3D70-59D4-A943-06E03FFCBB47}</x14:id>
        </x:ext>
      </x:extLst>
    </x:cfRule>
  </x:conditionalFormatting>
  <x:dataValidations count="4">
    <x:dataValidation type="list" sqref="F5:F413">
      <x:formula1>'Lists'!$A$2:$A$9</x:formula1>
    </x:dataValidation>
    <x:dataValidation type="list" sqref="H5:H413">
      <x:formula1>'Lists'!$B$2:$B$6</x:formula1>
    </x:dataValidation>
    <x:dataValidation type="list" sqref="J5:J413">
      <x:formula1>'Lists'!$C$2:$C$10</x:formula1>
    </x:dataValidation>
    <x:dataValidation type="list" sqref="I5:I413">
      <x:formula1>'Lists'!$D$2:$D$10</x:formula1>
    </x:dataValidation>
  </x:dataValidations>
  <x:pageMargins left="0.7" right="0.7" top="0.75" bottom="0.75" header="0.3" footer="0.3"/>
  <x:tableParts count="1">
    <x:tablePart xmlns:r="http://schemas.openxmlformats.org/officeDocument/2006/relationships" r:id="Rb0024eb3f37e467d"/>
  </x:tableParts>
  <x:extLst>
    <x:ext xmlns:x14="http://schemas.microsoft.com/office/spreadsheetml/2009/9/main" xmlns:xm="http://schemas.microsoft.com/office/excel/2006/main" uri="{78C0D931-6437-407d-A8EE-F0AAD7539E65}">
      <x14:conditionalFormattings>
        <x14:conditionalFormatting>
          <x14:cfRule type="dataBar" priority="8" id="{2CE813AB-3D70-59D4-A943-06E03FFCBB47}">
            <x14:dataBar gradient="1">
              <x14:cfvo type="min"/>
              <x14:cfvo type="max"/>
              <x14:fillColor rgb="FFF7B500"/>
            </x14:dataBar>
          </x14:cfRule>
          <xm:sqref>G5:G213</xm:sqref>
        </x14:conditionalFormatting>
      </x14:conditionalFormattings>
    </x:ext>
  </x:extLst>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3" hidden="0" customWidth="1"/>
    <x:col min="3" max="3" width="34" hidden="0" customWidth="1"/>
    <x:col min="4" max="4" width="38" hidden="0" customWidth="1"/>
    <x:col min="5" max="5" width="55" hidden="0" customWidth="1"/>
    <x:col min="6" max="6" width="48" hidden="0" customWidth="1"/>
    <x:col min="7" max="7" width="16" hidden="0" customWidth="1"/>
  </x:cols>
  <x:sheetData>
    <x:row r="1">
      <x:c r="A1" s="138" t="str">
        <x:v>JaniWheels Step-by-Step Development Roadmap</x:v>
      </x:c>
      <x:c r="B1" s="138"/>
      <x:c r="C1" s="138"/>
      <x:c r="D1" s="138"/>
      <x:c r="E1" s="138"/>
      <x:c r="F1" s="138"/>
      <x:c r="G1" s="138"/>
    </x:row>
    <x:row r="2">
      <x:c r="A2" s="139" t="str">
        <x:v>Verified development is committed, pushed and recorded automatically under owner authorization. PR review and main merge remain separate. Local browser/DB acceptance runs alongside packages; live/real-device launch acceptance remains open.</x:v>
      </x:c>
      <x:c r="B2" s="139"/>
      <x:c r="C2" s="139"/>
      <x:c r="D2" s="139"/>
      <x:c r="E2" s="139"/>
      <x:c r="F2" s="139"/>
      <x:c r="G2" s="139"/>
    </x:row>
    <x:row r="3">
      <x:c r="A3" s="88"/>
      <x:c r="B3" s="88"/>
      <x:c r="C3" s="88"/>
      <x:c r="D3" s="88"/>
      <x:c r="E3" s="88"/>
      <x:c r="F3" s="88"/>
      <x:c r="G3" s="88"/>
    </x:row>
    <x:row r="4">
      <x:c r="A4" s="140" t="str">
        <x:v>Order</x:v>
      </x:c>
      <x:c r="B4" s="140" t="str">
        <x:v>Stage</x:v>
      </x:c>
      <x:c r="C4" s="140" t="str">
        <x:v>Work Package</x:v>
      </x:c>
      <x:c r="D4" s="140" t="str">
        <x:v>Suggested Branch</x:v>
      </x:c>
      <x:c r="E4" s="140" t="str">
        <x:v>Included Scope</x:v>
      </x:c>
      <x:c r="F4" s="140" t="str">
        <x:v>Exit Gate</x:v>
      </x:c>
      <x:c r="G4" s="140" t="str">
        <x:v>Status</x:v>
      </x:c>
    </x:row>
    <x:row r="5">
      <x:c r="A5" s="88" t="str">
        <x:v>0.1</x:v>
      </x:c>
      <x:c r="B5" s="88" t="str">
        <x:v>Stage 0</x:v>
      </x:c>
      <x:c r="C5" s="141" t="str">
        <x:v>Homepage branch review</x:v>
      </x:c>
      <x:c r="D5" s="141" t="str">
        <x:v>feature/homepage-ui-redesign</x:v>
      </x:c>
      <x:c r="E5" s="141" t="str">
        <x:v>User reviews desktop/mobile local preview; requested UI defects are fixed; automated checks pass.</x:v>
      </x:c>
      <x:c r="F5" s="141" t="str">
        <x:v>PR #2 approved and merged only after explicit user approval.</x:v>
      </x:c>
      <x:c r="G5" s="141" t="str">
        <x:v>Completed</x:v>
      </x:c>
    </x:row>
    <x:row r="6">
      <x:c r="A6" s="88" t="str">
        <x:v>1.1</x:v>
      </x:c>
      <x:c r="B6" s="88" t="str">
        <x:v>Stage 1</x:v>
      </x:c>
      <x:c r="C6" s="141" t="str">
        <x:v>Private listing visibility</x:v>
      </x:c>
      <x:c r="D6" s="141" t="str">
        <x:v>security/inactive-listing-visibility</x:v>
      </x:c>
      <x:c r="E6" s="141" t="str">
        <x:v>Non-active listings cannot be viewed/contacted by the public; owner/admin exceptions are tested.</x:v>
      </x:c>
      <x:c r="F6" s="141" t="str">
        <x:v>Critical security regression tests pass.</x:v>
      </x:c>
      <x:c r="G6" s="141" t="str">
        <x:v>Completed</x:v>
      </x:c>
    </x:row>
    <x:row r="7">
      <x:c r="A7" s="88" t="str">
        <x:v>1.2</x:v>
      </x:c>
      <x:c r="B7" s="88" t="str">
        <x:v>Stage 1</x:v>
      </x:c>
      <x:c r="C7" s="141" t="str">
        <x:v>Instant publication alignment</x:v>
      </x:c>
      <x:c r="D7" s="141" t="str">
        <x:v>feature/instant-listing-publication</x:v>
      </x:c>
      <x:c r="E7" s="141" t="str">
        <x:v>Valid listings publish active immediately and moderation becomes post-publication.</x:v>
      </x:c>
      <x:c r="F7" s="141" t="str">
        <x:v>Cars verified for individual/unverified/verified dealer cases.</x:v>
      </x:c>
      <x:c r="G7" s="141" t="str">
        <x:v>Completed</x:v>
      </x:c>
    </x:row>
    <x:row r="8">
      <x:c r="A8" s="88" t="str">
        <x:v>1.3</x:v>
      </x:c>
      <x:c r="B8" s="88" t="str">
        <x:v>Stage 1</x:v>
      </x:c>
      <x:c r="C8" s="141" t="str">
        <x:v>Parts filter correctness</x:v>
      </x:c>
      <x:c r="D8" s="141" t="str">
        <x:v>fix/parts-search-filters</x:v>
      </x:c>
      <x:c r="E8" s="141" t="str">
        <x:v>Category and condition URLs accurately filter results.</x:v>
      </x:c>
      <x:c r="F8" s="141" t="str">
        <x:v>DB integration cases pass for all parts facets.</x:v>
      </x:c>
      <x:c r="G8" s="141" t="str">
        <x:v>Completed</x:v>
      </x:c>
    </x:row>
    <x:row r="9">
      <x:c r="A9" s="88" t="str">
        <x:v>1.4</x:v>
      </x:c>
      <x:c r="B9" s="88" t="str">
        <x:v>Stage 1</x:v>
      </x:c>
      <x:c r="C9" s="141" t="str">
        <x:v>Upload ownership and rate limiting</x:v>
      </x:c>
      <x:c r="D9" s="141" t="str">
        <x:v>security/upload-and-abuse-controls</x:v>
      </x:c>
      <x:c r="E9" s="141" t="str">
        <x:v>Media keys are user-bound and critical endpoints are throttled.</x:v>
      </x:c>
      <x:c r="F9" s="141" t="str">
        <x:v>Cross-user/abuse tests pass.</x:v>
      </x:c>
      <x:c r="G9" s="141" t="str">
        <x:v>Completed</x:v>
      </x:c>
    </x:row>
    <x:row r="10">
      <x:c r="A10" s="88" t="str">
        <x:v>2.1</x:v>
      </x:c>
      <x:c r="B10" s="88" t="str">
        <x:v>Stage 2</x:v>
      </x:c>
      <x:c r="C10" s="141" t="str">
        <x:v>Complete car form and edit/delete</x:v>
      </x:c>
      <x:c r="D10" s="141" t="str">
        <x:v>feature/car-listing-crud</x:v>
      </x:c>
      <x:c r="E10" s="141" t="str">
        <x:v>All agreed car fields and owner CRUD work with image management.</x:v>
      </x:c>
      <x:c r="F10" s="141" t="str">
        <x:v>Car acceptance and security suite passes.</x:v>
      </x:c>
      <x:c r="G10" s="141" t="str">
        <x:v>Completed</x:v>
      </x:c>
    </x:row>
    <x:row r="11">
      <x:c r="A11" s="88" t="str">
        <x:v>2.2</x:v>
      </x:c>
      <x:c r="B11" s="88" t="str">
        <x:v>Stage 2</x:v>
      </x:c>
      <x:c r="C11" s="141" t="str">
        <x:v>Bike listing CRUD</x:v>
      </x:c>
      <x:c r="D11" s="141" t="str">
        <x:v>feature/bike-listing-crud</x:v>
      </x:c>
      <x:c r="E11" s="141" t="str">
        <x:v>Bike create/edit/delete/mark sold works end to end.</x:v>
      </x:c>
      <x:c r="F11" s="141" t="str">
        <x:v>Bike acceptance suite passes.</x:v>
      </x:c>
      <x:c r="G11" s="141" t="str">
        <x:v>Completed</x:v>
      </x:c>
    </x:row>
    <x:row r="12">
      <x:c r="A12" s="88" t="str">
        <x:v>2.3</x:v>
      </x:c>
      <x:c r="B12" s="88" t="str">
        <x:v>Stage 2</x:v>
      </x:c>
      <x:c r="C12" s="141" t="str">
        <x:v>Parts listing CRUD</x:v>
      </x:c>
      <x:c r="D12" s="141" t="str">
        <x:v>feature/parts-listing-crud</x:v>
      </x:c>
      <x:c r="E12" s="141" t="str">
        <x:v>Parts classified create/edit/delete works with compatibility and no e-commerce.</x:v>
      </x:c>
      <x:c r="F12" s="141" t="str">
        <x:v>Parts acceptance suite passes.</x:v>
      </x:c>
      <x:c r="G12" s="141" t="str">
        <x:v>Completed</x:v>
      </x:c>
    </x:row>
    <x:row r="13">
      <x:c r="A13" s="88" t="str">
        <x:v>2.4</x:v>
      </x:c>
      <x:c r="B13" s="88" t="str">
        <x:v>Stage 2</x:v>
      </x:c>
      <x:c r="C13" s="141" t="str">
        <x:v>Profile and password recovery</x:v>
      </x:c>
      <x:c r="D13" s="141" t="str">
        <x:v>feature/account-management</x:v>
      </x:c>
      <x:c r="E13" s="141" t="str">
        <x:v>Profile edit and secure email-based password reset work.</x:v>
      </x:c>
      <x:c r="F13" s="141" t="str">
        <x:v>Account E2E and security cases pass.</x:v>
      </x:c>
      <x:c r="G13" s="141" t="str">
        <x:v>Completed</x:v>
      </x:c>
    </x:row>
    <x:row r="14">
      <x:c r="A14" s="88" t="str">
        <x:v>3.1</x:v>
      </x:c>
      <x:c r="B14" s="88" t="str">
        <x:v>Stage 3</x:v>
      </x:c>
      <x:c r="C14" s="141" t="str">
        <x:v>Browse filter experience</x:v>
      </x:c>
      <x:c r="D14" s="141" t="str">
        <x:v>feature/browse-filters</x:v>
      </x:c>
      <x:c r="E14" s="141" t="str">
        <x:v>All supported filters are accessible on desktop/mobile and URL-synchronized.</x:v>
      </x:c>
      <x:c r="F14" s="141" t="str">
        <x:v>Filter accuracy and responsive tests pass.</x:v>
      </x:c>
      <x:c r="G14" s="141" t="str">
        <x:v>Completed</x:v>
      </x:c>
    </x:row>
    <x:row r="15">
      <x:c r="A15" s="88" t="str">
        <x:v>3.2</x:v>
      </x:c>
      <x:c r="B15" s="88" t="str">
        <x:v>Stage 3</x:v>
      </x:c>
      <x:c r="C15" s="141" t="str">
        <x:v>Favourites and recently viewed</x:v>
      </x:c>
      <x:c r="D15" s="141" t="str">
        <x:v>feature/buyer-retention</x:v>
      </x:c>
      <x:c r="E15" s="141" t="str">
        <x:v>Save/unsave, saved page and conditional recent history work.</x:v>
      </x:c>
      <x:c r="F15" s="141" t="str">
        <x:v>Auth/anonymous/stale-data cases pass.</x:v>
      </x:c>
      <x:c r="G15" s="141" t="str">
        <x:v>Completed</x:v>
      </x:c>
    </x:row>
    <x:row r="16">
      <x:c r="A16" s="88" t="str">
        <x:v>3.3</x:v>
      </x:c>
      <x:c r="B16" s="88" t="str">
        <x:v>Stage 3</x:v>
      </x:c>
      <x:c r="C16" s="141" t="str">
        <x:v>Vehicle comparison</x:v>
      </x:c>
      <x:c r="D16" s="141" t="str">
        <x:v>feature/vehicle-comparison</x:v>
      </x:c>
      <x:c r="E16" s="141" t="str">
        <x:v>2-3 comparable listings can be reviewed side by side.</x:v>
      </x:c>
      <x:c r="F16" s="141" t="str">
        <x:v>Selection limits and mobile layout pass.</x:v>
      </x:c>
      <x:c r="G16" s="141" t="str">
        <x:v>Completed</x:v>
      </x:c>
    </x:row>
    <x:row r="17">
      <x:c r="A17" s="88" t="str">
        <x:v>3.4</x:v>
      </x:c>
      <x:c r="B17" s="88" t="str">
        <x:v>Stage 3</x:v>
      </x:c>
      <x:c r="C17" s="141" t="str">
        <x:v>Saved searches and email alerts</x:v>
      </x:c>
      <x:c r="D17" s="141" t="str">
        <x:v>feature/saved-search-alerts</x:v>
      </x:c>
      <x:c r="E17" s="141" t="str">
        <x:v>Saved-search management, alert preferences and deduplicated match outbox exist; delivery worker, templates, retry/control and full matching acceptance remain.</x:v>
      </x:c>
      <x:c r="F17" s="141" t="str">
        <x:v>Automated matching/overflow/deduplication and delivered-email acceptance pass with configured provider/scheduler.</x:v>
      </x:c>
      <x:c r="G17" s="141" t="str">
        <x:v>Partially Implemented</x:v>
      </x:c>
    </x:row>
    <x:row r="18">
      <x:c r="A18" s="88" t="str">
        <x:v>4.1</x:v>
      </x:c>
      <x:c r="B18" s="88" t="str">
        <x:v>Stage 4</x:v>
      </x:c>
      <x:c r="C18" s="141" t="str">
        <x:v>Dealer settings and verification</x:v>
      </x:c>
      <x:c r="D18" s="141" t="str">
        <x:v>feature/dealer-administration</x:v>
      </x:c>
      <x:c r="E18" s="141" t="str">
        <x:v>Dealer profile editing/logo and manual verification/revocation work.</x:v>
      </x:c>
      <x:c r="F18" s="141" t="str">
        <x:v>Badge consistency and admin auth pass.</x:v>
      </x:c>
      <x:c r="G18" s="141" t="str">
        <x:v>Completed</x:v>
      </x:c>
    </x:row>
    <x:row r="19">
      <x:c r="A19" s="88" t="str">
        <x:v>4.2</x:v>
      </x:c>
      <x:c r="B19" s="88" t="str">
        <x:v>Stage 4</x:v>
      </x:c>
      <x:c r="C19" s="141" t="str">
        <x:v>Admin listing/user controls</x:v>
      </x:c>
      <x:c r="D19" s="141" t="str">
        <x:v>feature/admin-controls</x:v>
      </x:c>
      <x:c r="E19" s="141" t="str">
        <x:v>Flag/unpublish/edit/reinstate and ban/unban are logged and safe.</x:v>
      </x:c>
      <x:c r="F19" s="141" t="str">
        <x:v>Transition and authorization matrix passes.</x:v>
      </x:c>
      <x:c r="G19" s="141" t="str">
        <x:v>Completed</x:v>
      </x:c>
    </x:row>
    <x:row r="20">
      <x:c r="A20" s="88" t="str">
        <x:v>5.1</x:v>
      </x:c>
      <x:c r="B20" s="88" t="str">
        <x:v>Stage 5</x:v>
      </x:c>
      <x:c r="C20" s="141" t="str">
        <x:v>Inspection request administration</x:v>
      </x:c>
      <x:c r="D20" s="141" t="str">
        <x:v>feature/inspection-admin</x:v>
      </x:c>
      <x:c r="E20" s="141" t="str">
        <x:v>Staff can manage request-based inspection follow-up only.</x:v>
      </x:c>
      <x:c r="F20" s="141" t="str">
        <x:v>Admin workflow tests pass; no workforce scope added.</x:v>
      </x:c>
      <x:c r="G20" s="141" t="str">
        <x:v>Completed</x:v>
      </x:c>
    </x:row>
    <x:row r="21">
      <x:c r="A21" s="88" t="str">
        <x:v>5.2</x:v>
      </x:c>
      <x:c r="B21" s="88" t="str">
        <x:v>Stage 5</x:v>
      </x:c>
      <x:c r="C21" s="141" t="str">
        <x:v>Sell My Car Assistance</x:v>
      </x:c>
      <x:c r="D21" s="141" t="str">
        <x:v>feature/sell-my-car-assistance</x:v>
      </x:c>
      <x:c r="E21" s="141" t="str">
        <x:v>Public request and admin follow-up workflows work.</x:v>
      </x:c>
      <x:c r="F21" s="141" t="str">
        <x:v>Submission, privacy and status tests pass.</x:v>
      </x:c>
      <x:c r="G21" s="141" t="str">
        <x:v>Completed</x:v>
      </x:c>
    </x:row>
    <x:row r="22">
      <x:c r="A22" s="88" t="str">
        <x:v>6.1</x:v>
      </x:c>
      <x:c r="B22" s="88" t="str">
        <x:v>Stage 6</x:v>
      </x:c>
      <x:c r="C22" s="141" t="str">
        <x:v>Legal/content pages</x:v>
      </x:c>
      <x:c r="D22" s="141" t="str">
        <x:v>feature/legal-and-content</x:v>
      </x:c>
      <x:c r="E22" s="141" t="str">
        <x:v>Terms, Privacy, About, Contact and Safety are approved and live.</x:v>
      </x:c>
      <x:c r="F22" s="141" t="str">
        <x:v>Content/link/metadata review passes.</x:v>
      </x:c>
      <x:c r="G22" s="141" t="str">
        <x:v>Completed</x:v>
      </x:c>
    </x:row>
    <x:row r="23">
      <x:c r="A23" s="88" t="str">
        <x:v>6.2</x:v>
      </x:c>
      <x:c r="B23" s="88" t="str">
        <x:v>Stage 6</x:v>
      </x:c>
      <x:c r="C23" s="141" t="str">
        <x:v>CI, automated testing and staging</x:v>
      </x:c>
      <x:c r="D23" s="141" t="str">
        <x:v>codex/launch-quality-system</x:v>
      </x:c>
      <x:c r="E23" s="141" t="str">
        <x:v>PR #6 / a96704b: CI run 37 passes, 93 local browser cases and 5 DB checks. Persistent staging, monitoring and required-check enforcement remain open.</x:v>
      </x:c>
      <x:c r="F23" s="141" t="str">
        <x:v>Deliberate failure blocks merge; staging smoke passes.</x:v>
      </x:c>
      <x:c r="G23" s="141" t="str">
        <x:v>In Progress</x:v>
      </x:c>
    </x:row>
    <x:row r="24">
      <x:c r="A24" s="88" t="str">
        <x:v>6.3</x:v>
      </x:c>
      <x:c r="B24" s="88" t="str">
        <x:v>Stage 6</x:v>
      </x:c>
      <x:c r="C24" s="141" t="str">
        <x:v>Production infrastructure and hardening</x:v>
      </x:c>
      <x:c r="D24" s="141" t="str">
        <x:v>codex/production-readiness (planned)</x:v>
      </x:c>
      <x:c r="E24" s="141" t="str">
        <x:v>Local hardening has started: upload ownership/privacy, action authorization and cleanup. Production DB/media/backups/cron/logs/domain, formal security/load and live acceptance remain open.</x:v>
      </x:c>
      <x:c r="F24" s="141" t="str">
        <x:v>Formal launch checklist has no open critical/high issue.</x:v>
      </x:c>
      <x:c r="G24" s="141" t="str">
        <x:v>In Progress</x:v>
      </x:c>
    </x:row>
  </x:sheetData>
  <x:mergeCells>
    <x:mergeCell ref="A1:G1"/>
    <x:mergeCell ref="A2:G2"/>
  </x:mergeCells>
  <x:pageMargins left="0.7" right="0.7" top="0.75" bottom="0.75" header="0.3" footer="0.3"/>
  <x:tableParts count="1">
    <x:tablePart xmlns:r="http://schemas.openxmlformats.org/officeDocument/2006/relationships" r:id="R8be86ef6d4044925"/>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1" hidden="0" customWidth="1"/>
    <x:col min="2" max="2" width="20" hidden="0" customWidth="1"/>
    <x:col min="3" max="3" width="42" hidden="0" customWidth="1"/>
    <x:col min="4" max="4" width="26" hidden="0" customWidth="1"/>
    <x:col min="5" max="5" width="18" hidden="0" customWidth="1"/>
    <x:col min="6" max="6" width="22" hidden="0" customWidth="1"/>
    <x:col min="7" max="7" width="38" hidden="0" customWidth="1"/>
    <x:col min="8" max="8" width="46" hidden="0" customWidth="1"/>
  </x:cols>
  <x:sheetData>
    <x:row r="1">
      <x:c r="A1" s="138" t="str">
        <x:v>JaniWheels Master Test Matrix</x:v>
      </x:c>
      <x:c r="B1" s="138"/>
      <x:c r="C1" s="138"/>
      <x:c r="D1" s="138"/>
      <x:c r="E1" s="138"/>
      <x:c r="F1" s="138"/>
      <x:c r="G1" s="138"/>
      <x:c r="H1" s="138"/>
    </x:row>
    <x:row r="2">
      <x:c r="A2" s="139" t="str">
        <x:v>A feature is not complete until its success, validation, authorization, empty/error, responsive and regression cases are passed.</x:v>
      </x:c>
      <x:c r="B2" s="139"/>
      <x:c r="C2" s="139"/>
      <x:c r="D2" s="139"/>
      <x:c r="E2" s="139"/>
      <x:c r="F2" s="139"/>
      <x:c r="G2" s="139"/>
      <x:c r="H2" s="139"/>
    </x:row>
    <x:row r="3">
      <x:c r="A3" s="88"/>
      <x:c r="B3" s="88"/>
      <x:c r="C3" s="88"/>
      <x:c r="D3" s="88"/>
      <x:c r="E3" s="88"/>
      <x:c r="F3" s="88"/>
      <x:c r="G3" s="88"/>
      <x:c r="H3" s="88"/>
    </x:row>
    <x:row r="4">
      <x:c r="A4" s="140" t="str">
        <x:v>Test ID</x:v>
      </x:c>
      <x:c r="B4" s="140" t="str">
        <x:v>Module</x:v>
      </x:c>
      <x:c r="C4" s="140" t="str">
        <x:v>Scenario</x:v>
      </x:c>
      <x:c r="D4" s="140" t="str">
        <x:v>Test Type</x:v>
      </x:c>
      <x:c r="E4" s="140" t="str">
        <x:v>Automation</x:v>
      </x:c>
      <x:c r="F4" s="140" t="str">
        <x:v>Current Result</x:v>
      </x:c>
      <x:c r="G4" s="140" t="str">
        <x:v>Entry Condition</x:v>
      </x:c>
      <x:c r="H4" s="140" t="str">
        <x:v>Expected Result</x:v>
      </x:c>
    </x:row>
    <x:row r="5">
      <x:c r="A5" s="88" t="str">
        <x:v>T-001</x:v>
      </x:c>
      <x:c r="B5" s="88" t="str">
        <x:v>Authentication</x:v>
      </x:c>
      <x:c r="C5" s="141" t="str">
        <x:v>Register valid user</x:v>
      </x:c>
      <x:c r="D5" s="141" t="str">
        <x:v>Integration + E2E</x:v>
      </x:c>
      <x:c r="E5" s="141" t="str">
        <x:v>Desktop/mobile Chromium registration, captured verification link and isolated DB/session assertions</x:v>
      </x:c>
      <x:c r="F5" s="141" t="str">
        <x:v>Passed: unverified user cannot sign in; one-use verification link activates account and permits sign-in; expired link fails</x:v>
      </x:c>
      <x:c r="G5" s="141" t="str">
        <x:v>Clean DB and valid unique data</x:v>
      </x:c>
      <x:c r="H5" s="141" t="str">
        <x:v>User created without session; verified email required before sign-in</x:v>
      </x:c>
    </x:row>
    <x:row r="6">
      <x:c r="A6" s="88" t="str">
        <x:v>T-002</x:v>
      </x:c>
      <x:c r="B6" s="88" t="str">
        <x:v>Authentication</x:v>
      </x:c>
      <x:c r="C6" s="141" t="str">
        <x:v>Reject invalid/duplicate registration</x:v>
      </x:c>
      <x:c r="D6" s="141" t="str">
        <x:v>Integration</x:v>
      </x:c>
      <x:c r="E6" s="141" t="str">
        <x:v>Desktop/mobile Chromium duplicate email, malformed name/password and DB user-count assertions</x:v>
      </x:c>
      <x:c r="F6" s="141" t="str">
        <x:v>Partial pass: duplicate, short name and short password rejected without new users; malformed email/phone and direct-action cases remain</x:v>
      </x:c>
      <x:c r="G6" s="141" t="str">
        <x:v>Existing account and malformed inputs</x:v>
      </x:c>
      <x:c r="H6" s="141" t="str">
        <x:v>Safe field errors; no duplicate user</x:v>
      </x:c>
    </x:row>
    <x:row r="7">
      <x:c r="A7" s="88" t="str">
        <x:v>T-003</x:v>
      </x:c>
      <x:c r="B7" s="88" t="str">
        <x:v>Authentication</x:v>
      </x:c>
      <x:c r="C7" s="141" t="str">
        <x:v>Login valid/invalid/banned user</x:v>
      </x:c>
      <x:c r="D7" s="141" t="str">
        <x:v>Security + E2E</x:v>
      </x:c>
      <x:c r="E7" s="141" t="str">
        <x:v>Desktop/mobile Chromium valid/invalid/banned/unverified login, DB sessions and repeated-failure retry limit; atomic DB concurrency check</x:v>
      </x:c>
      <x:c r="F7" s="141" t="str">
        <x:v>Passed: only valid active users get sessions; repeated failures show a 15-minute retry limit in both viewports</x:v>
      </x:c>
      <x:c r="G7" s="141" t="str">
        <x:v>Users in each state</x:v>
      </x:c>
      <x:c r="H7" s="141" t="str">
        <x:v>Only valid active user gets session</x:v>
      </x:c>
    </x:row>
    <x:row r="8">
      <x:c r="A8" s="88" t="str">
        <x:v>T-004</x:v>
      </x:c>
      <x:c r="B8" s="88" t="str">
        <x:v>Authentication</x:v>
      </x:c>
      <x:c r="C8" s="141" t="str">
        <x:v>Logout and expired/tampered session</x:v>
      </x:c>
      <x:c r="D8" s="141" t="str">
        <x:v>Integration + Security</x:v>
      </x:c>
      <x:c r="E8" s="141" t="str">
        <x:v>Manual only</x:v>
      </x:c>
      <x:c r="F8" s="141" t="str">
        <x:v>Pending automation</x:v>
      </x:c>
      <x:c r="G8" s="141" t="str">
        <x:v>Active/expired/tampered tokens</x:v>
      </x:c>
      <x:c r="H8" s="141" t="str">
        <x:v>Session invalidated or rejected</x:v>
      </x:c>
    </x:row>
    <x:row r="9">
      <x:c r="A9" s="88" t="str">
        <x:v>T-005</x:v>
      </x:c>
      <x:c r="B9" s="88" t="str">
        <x:v>Authentication</x:v>
      </x:c>
      <x:c r="C9" s="141" t="str">
        <x:v>Password reset token lifecycle</x:v>
      </x:c>
      <x:c r="D9" s="141" t="str">
        <x:v>Security + E2E</x:v>
      </x:c>
      <x:c r="E9" s="141" t="str">
        <x:v>Desktop/mobile Chromium reset link, isolated DB token/session assertions and invalid-token lifecycle</x:v>
      </x:c>
      <x:c r="F9" s="141" t="str">
        <x:v>Passed: hashed single-use token, expiry denial, session revocation, old-password denial and new-password sign-in</x:v>
      </x:c>
      <x:c r="G9" s="141" t="str">
        <x:v>Reset feature complete</x:v>
      </x:c>
      <x:c r="H9" s="141" t="str">
        <x:v>Single-use expiry and session revocation work</x:v>
      </x:c>
    </x:row>
    <x:row r="10">
      <x:c r="A10" s="88" t="str">
        <x:v>T-006</x:v>
      </x:c>
      <x:c r="B10" s="88" t="str">
        <x:v>Authorization</x:v>
      </x:c>
      <x:c r="C10" s="141" t="str">
        <x:v>Cross-user listing/media access</x:v>
      </x:c>
      <x:c r="D10" s="141" t="str">
        <x:v>Security integration</x:v>
      </x:c>
      <x:c r="E10" s="141" t="str">
        <x:v>Desktop/mobile direct listing actions plus local image GET/HEAD checks for pending, active and all inactive statuses; owner/admin success, foreign/anonymous denial and optimizer rejection</x:v>
      </x:c>
      <x:c r="F10" s="141" t="str">
        <x:v>Local pass: private reads denied, active photos public, owner edit preview loads, no-store headers verified. Cloudflare private delivery remains pending.</x:v>
      </x:c>
      <x:c r="G10" s="141" t="str">
        <x:v>Two users with listings/uploads</x:v>
      </x:c>
      <x:c r="H10" s="141" t="str">
        <x:v>Every unauthorized read/write is denied</x:v>
      </x:c>
    </x:row>
    <x:row r="11">
      <x:c r="A11" s="88" t="str">
        <x:v>T-007</x:v>
      </x:c>
      <x:c r="B11" s="88" t="str">
        <x:v>Listings</x:v>
      </x:c>
      <x:c r="C11" s="141" t="str">
        <x:v>Create car with all required/optional fields</x:v>
      </x:c>
      <x:c r="D11" s="141" t="str">
        <x:v>Integration + E2E</x:v>
      </x:c>
      <x:c r="E11" s="141" t="str">
        <x:v>Desktop/mobile Chromium publication with photo</x:v>
      </x:c>
      <x:c r="F11" s="141" t="str">
        <x:v>Passed: active car and detail redirect; optional-field boundaries remain open</x:v>
      </x:c>
      <x:c r="G11" s="141" t="str">
        <x:v>Seeded taxonomy and upload provider</x:v>
      </x:c>
      <x:c r="H11" s="141" t="str">
        <x:v>Correct active car and related rows created atomically</x:v>
      </x:c>
    </x:row>
    <x:row r="12">
      <x:c r="A12" s="88" t="str">
        <x:v>T-008</x:v>
      </x:c>
      <x:c r="B12" s="88" t="str">
        <x:v>Listings</x:v>
      </x:c>
      <x:c r="C12" s="141" t="str">
        <x:v>Car validation boundaries/tampering</x:v>
      </x:c>
      <x:c r="D12" s="141" t="str">
        <x:v>Unit + Integration</x:v>
      </x:c>
      <x:c r="E12" s="141" t="str">
        <x:v>Automated seller schema boundary checks plus desktop/mobile Chromium car publication and DB verification</x:v>
      </x:c>
      <x:c r="F12" s="141" t="str">
        <x:v>Partial pass: price/year/photo limits and registration/auction conflicts; invalid IDs and direct action tampering still open</x:v>
      </x:c>
      <x:c r="G12" s="141" t="str">
        <x:v>Invalid IDs, price, year, mileage, images</x:v>
      </x:c>
      <x:c r="H12" s="141" t="str">
        <x:v>Submission rejected with clear messages</x:v>
      </x:c>
    </x:row>
    <x:row r="13">
      <x:c r="A13" s="88" t="str">
        <x:v>T-009</x:v>
      </x:c>
      <x:c r="B13" s="88" t="str">
        <x:v>Listings</x:v>
      </x:c>
      <x:c r="C13" s="141" t="str">
        <x:v>Instant publication by seller/dealer type</x:v>
      </x:c>
      <x:c r="D13" s="141" t="str">
        <x:v>Integration</x:v>
      </x:c>
      <x:c r="E13" s="141" t="str">
        <x:v>Automated checks</x:v>
      </x:c>
      <x:c r="F13" s="141" t="str">
        <x:v>Passed</x:v>
      </x:c>
      <x:c r="G13" s="141" t="str">
        <x:v>Individual/unverified/verified dealer</x:v>
      </x:c>
      <x:c r="H13" s="141" t="str">
        <x:v>All valid listings publish per locked rule</x:v>
      </x:c>
    </x:row>
    <x:row r="14">
      <x:c r="A14" s="88" t="str">
        <x:v>T-010</x:v>
      </x:c>
      <x:c r="B14" s="88" t="str">
        <x:v>Listings</x:v>
      </x:c>
      <x:c r="C14" s="141" t="str">
        <x:v>Create bike end to end</x:v>
      </x:c>
      <x:c r="D14" s="141" t="str">
        <x:v>Integration + E2E</x:v>
      </x:c>
      <x:c r="E14" s="141" t="str">
        <x:v>Desktop/mobile Chromium publication with photo</x:v>
      </x:c>
      <x:c r="F14" s="141" t="str">
        <x:v>Passed: active bike and detail redirect; electric path remains open</x:v>
      </x:c>
      <x:c r="G14" s="141" t="str">
        <x:v>Bike CRUD complete</x:v>
      </x:c>
      <x:c r="H14" s="141" t="str">
        <x:v>Correct bike detail and search facets</x:v>
      </x:c>
    </x:row>
    <x:row r="15">
      <x:c r="A15" s="88" t="str">
        <x:v>T-011</x:v>
      </x:c>
      <x:c r="B15" s="88" t="str">
        <x:v>Listings</x:v>
      </x:c>
      <x:c r="C15" s="141" t="str">
        <x:v>Create parts end to end</x:v>
      </x:c>
      <x:c r="D15" s="141" t="str">
        <x:v>Integration + E2E</x:v>
      </x:c>
      <x:c r="E15" s="141" t="str">
        <x:v>Desktop/mobile Chromium publication with photo</x:v>
      </x:c>
      <x:c r="F15" s="141" t="str">
        <x:v>Passed: active part and detail redirect; fitment cases remain open</x:v>
      </x:c>
      <x:c r="G15" s="141" t="str">
        <x:v>Parts CRUD complete</x:v>
      </x:c>
      <x:c r="H15" s="141" t="str">
        <x:v>Correct classified part without commerce fields</x:v>
      </x:c>
    </x:row>
    <x:row r="16">
      <x:c r="A16" s="88" t="str">
        <x:v>T-012</x:v>
      </x:c>
      <x:c r="B16" s="88" t="str">
        <x:v>Listings</x:v>
      </x:c>
      <x:c r="C16" s="141" t="str">
        <x:v>Edit listing and resync facets/slug</x:v>
      </x:c>
      <x:c r="D16" s="141" t="str">
        <x:v>Integration + SEO</x:v>
      </x:c>
      <x:c r="E16" s="141" t="str">
        <x:v>Automated checks plus desktop/mobile Chromium owner car edit with DB price/status assertion</x:v>
      </x:c>
      <x:c r="F16" s="141" t="str">
        <x:v>Passed owner price edit; facet and slug resync remain covered by feature checks</x:v>
      </x:c>
      <x:c r="G16" s="141" t="str">
        <x:v>Edit flow complete</x:v>
      </x:c>
      <x:c r="H16" s="141" t="str">
        <x:v>Owner edit persists and canonical redirect works</x:v>
      </x:c>
    </x:row>
    <x:row r="17">
      <x:c r="A17" s="88" t="str">
        <x:v>T-013</x:v>
      </x:c>
      <x:c r="B17" s="88" t="str">
        <x:v>Listings</x:v>
      </x:c>
      <x:c r="C17" s="141" t="str">
        <x:v>Delete listing and related data/media</x:v>
      </x:c>
      <x:c r="D17" s="141" t="str">
        <x:v>Integration + Security</x:v>
      </x:c>
      <x:c r="E17" s="141" t="str">
        <x:v>Automated checks plus desktop/mobile Chromium bike deletion with DB, public URL and photo assertions</x:v>
      </x:c>
      <x:c r="F17" s="141" t="str">
        <x:v>Passed: row soft-deleted, photo links removed, public listing and stored image unavailable</x:v>
      </x:c>
      <x:c r="G17" s="141" t="str">
        <x:v>Delete policy complete</x:v>
      </x:c>
      <x:c r="H17" s="141" t="str">
        <x:v>Only owner/admin deletes; visibility/media follow policy</x:v>
      </x:c>
    </x:row>
    <x:row r="18">
      <x:c r="A18" s="88" t="str">
        <x:v>T-014</x:v>
      </x:c>
      <x:c r="B18" s="88" t="str">
        <x:v>Listings</x:v>
      </x:c>
      <x:c r="C18" s="141" t="str">
        <x:v>Mark sold and expiry lifecycle</x:v>
      </x:c>
      <x:c r="D18" s="141" t="str">
        <x:v>Integration</x:v>
      </x:c>
      <x:c r="E18" s="141" t="str">
        <x:v>Desktop/mobile expiry cron, due/future fixtures, direct reactivation replay and owner positive control</x:v>
      </x:c>
      <x:c r="F18" s="141" t="str">
        <x:v>Local pass: cron auth, expiry selection, owner-only fresh 30-day window and active/rejected/removed no-op checked; complete live search/contact/SEO lifecycle and scheduler remain</x:v>
      </x:c>
      <x:c r="G18" s="141" t="str">
        <x:v>Active listing and cron secret</x:v>
      </x:c>
      <x:c r="H18" s="141" t="str">
        <x:v>Search/contact/SEO states update correctly</x:v>
      </x:c>
    </x:row>
    <x:row r="19">
      <x:c r="A19" s="88" t="str">
        <x:v>T-015</x:v>
      </x:c>
      <x:c r="B19" s="88" t="str">
        <x:v>Listings</x:v>
      </x:c>
      <x:c r="C19" s="141" t="str">
        <x:v>Inactive listing direct URL exposure</x:v>
      </x:c>
      <x:c r="D19" s="141" t="str">
        <x:v>Security E2E</x:v>
      </x:c>
      <x:c r="E19" s="141" t="str">
        <x:v>Automated checks</x:v>
      </x:c>
      <x:c r="F19" s="141" t="str">
        <x:v>Passed</x:v>
      </x:c>
      <x:c r="G19" s="141" t="str">
        <x:v>Listings in every non-active status</x:v>
      </x:c>
      <x:c r="H19" s="141" t="str">
        <x:v>Public gets approved 404/gone state; owner/admin rules hold</x:v>
      </x:c>
    </x:row>
    <x:row r="20">
      <x:c r="A20" s="88" t="str">
        <x:v>T-016</x:v>
      </x:c>
      <x:c r="B20" s="88" t="str">
        <x:v>Media</x:v>
      </x:c>
      <x:c r="C20" s="141" t="str">
        <x:v>Upload valid images and enforce size/count</x:v>
      </x:c>
      <x:c r="D20" s="141" t="str">
        <x:v>Integration</x:v>
      </x:c>
      <x:c r="E20" s="141" t="str">
        <x:v>Desktop/mobile upload WebP, owner-only pending GET/HEAD, foreign-Origin 403 and request-bucket 429; source size/count/quota guards</x:v>
      </x:c>
      <x:c r="F20" s="141" t="str">
        <x:v>Partial pass: valid image and request limit enforced; individual size/count boundaries remain open</x:v>
      </x:c>
      <x:c r="G20" s="141" t="str">
        <x:v>Representative image fixtures</x:v>
      </x:c>
      <x:c r="H20" s="141" t="str">
        <x:v>Valid stored; invalid rejected; limits enforced</x:v>
      </x:c>
    </x:row>
    <x:row r="21">
      <x:c r="A21" s="88" t="str">
        <x:v>T-017</x:v>
      </x:c>
      <x:c r="B21" s="88" t="str">
        <x:v>Media</x:v>
      </x:c>
      <x:c r="C21" s="141" t="str">
        <x:v>MIME spoof/malicious file rejection</x:v>
      </x:c>
      <x:c r="D21" s="141" t="str">
        <x:v>Security</x:v>
      </x:c>
      <x:c r="E21" s="141" t="str">
        <x:v>Automated check:uploads decodes/re-encodes valid images, rejects magic-byte-only fake and unsafe keys, preserves safe legacy conversion</x:v>
      </x:c>
      <x:c r="F21" s="141" t="str">
        <x:v>Partial pass: fake image/key rejection and WebP conversion verified; comprehensive oversized, SVG/executable/polyglot HTTP matrix remains</x:v>
      </x:c>
      <x:c r="G21" s="141" t="str">
        <x:v>SVG/executable/polyglot fixtures</x:v>
      </x:c>
      <x:c r="H21" s="141" t="str">
        <x:v>No malicious content stored/served</x:v>
      </x:c>
    </x:row>
    <x:row r="22">
      <x:c r="A22" s="88" t="str">
        <x:v>T-018</x:v>
      </x:c>
      <x:c r="B22" s="88" t="str">
        <x:v>Media</x:v>
      </x:c>
      <x:c r="C22" s="141" t="str">
        <x:v>Cross-user storage key attachment</x:v>
      </x:c>
      <x:c r="D22" s="141" t="str">
        <x:v>Security integration</x:v>
      </x:c>
      <x:c r="E22" s="141" t="str">
        <x:v>Real database rollback and desktop/mobile captured publish/edit HTTP requests replayed with another user's unclaimed key, followed by valid-owner positive controls</x:v>
      </x:c>
      <x:c r="F22" s="141" t="str">
        <x:v>Local pass: foreign publish creates no listing or claim; foreign edit preserves listing images; original owner payload succeeds. Production/provider acceptance remains.</x:v>
      </x:c>
      <x:c r="G22" s="141" t="str">
        <x:v>Ownership binding implemented</x:v>
      </x:c>
      <x:c r="H22" s="141" t="str">
        <x:v>User B cannot attach User A upload</x:v>
      </x:c>
    </x:row>
    <x:row r="23">
      <x:c r="A23" s="88" t="str">
        <x:v>T-019</x:v>
      </x:c>
      <x:c r="B23" s="88" t="str">
        <x:v>Search</x:v>
      </x:c>
      <x:c r="C23" s="141" t="str">
        <x:v>All car filters and combinations</x:v>
      </x:c>
      <x:c r="D23" s="141" t="str">
        <x:v>DB integration</x:v>
      </x:c>
      <x:c r="E23" s="141" t="str">
        <x:v>SEO only partial</x:v>
      </x:c>
      <x:c r="F23" s="141" t="str">
        <x:v>Pending automation</x:v>
      </x:c>
      <x:c r="G23" s="141" t="str">
        <x:v>Seeded deterministic listings</x:v>
      </x:c>
      <x:c r="H23" s="141" t="str">
        <x:v>Exact result IDs/counts and canonical decisions</x:v>
      </x:c>
    </x:row>
    <x:row r="24">
      <x:c r="A24" s="88" t="str">
        <x:v>T-020</x:v>
      </x:c>
      <x:c r="B24" s="88" t="str">
        <x:v>Search</x:v>
      </x:c>
      <x:c r="C24" s="141" t="str">
        <x:v>All bike filters and combinations</x:v>
      </x:c>
      <x:c r="D24" s="141" t="str">
        <x:v>DB integration</x:v>
      </x:c>
      <x:c r="E24" s="141" t="str">
        <x:v>SEO only partial</x:v>
      </x:c>
      <x:c r="F24" s="141" t="str">
        <x:v>Pending automation</x:v>
      </x:c>
      <x:c r="G24" s="141" t="str">
        <x:v>Seeded bike listings</x:v>
      </x:c>
      <x:c r="H24" s="141" t="str">
        <x:v>Exact result IDs/counts</x:v>
      </x:c>
    </x:row>
    <x:row r="25">
      <x:c r="A25" s="88" t="str">
        <x:v>T-021</x:v>
      </x:c>
      <x:c r="B25" s="88" t="str">
        <x:v>Search</x:v>
      </x:c>
      <x:c r="C25" s="141" t="str">
        <x:v>Parts category and condition filters</x:v>
      </x:c>
      <x:c r="D25" s="141" t="str">
        <x:v>DB integration</x:v>
      </x:c>
      <x:c r="E25" s="141" t="str">
        <x:v>DB integration checks</x:v>
      </x:c>
      <x:c r="F25" s="141" t="str">
        <x:v>Passed</x:v>
      </x:c>
      <x:c r="G25" s="141" t="str">
        <x:v>Parts in multiple categories/conditions</x:v>
      </x:c>
      <x:c r="H25" s="141" t="str">
        <x:v>Only matching parts returned</x:v>
      </x:c>
    </x:row>
    <x:row r="26">
      <x:c r="A26" s="88" t="str">
        <x:v>T-022</x:v>
      </x:c>
      <x:c r="B26" s="88" t="str">
        <x:v>Search</x:v>
      </x:c>
      <x:c r="C26" s="141" t="str">
        <x:v>Sorting and stable pagination</x:v>
      </x:c>
      <x:c r="D26" s="141" t="str">
        <x:v>DB integration</x:v>
      </x:c>
      <x:c r="E26" s="141" t="str">
        <x:v>Route sweep partial</x:v>
      </x:c>
      <x:c r="F26" s="141" t="str">
        <x:v>Pending automation</x:v>
      </x:c>
      <x:c r="G26" s="141" t="str">
        <x:v>More than 50 deterministic rows</x:v>
      </x:c>
      <x:c r="H26" s="141" t="str">
        <x:v>No duplicates/missing rows; correct order</x:v>
      </x:c>
    </x:row>
    <x:row r="27">
      <x:c r="A27" s="88" t="str">
        <x:v>T-023</x:v>
      </x:c>
      <x:c r="B27" s="88" t="str">
        <x:v>Search</x:v>
      </x:c>
      <x:c r="C27" s="141" t="str">
        <x:v>Unknown/reordered facet URLs</x:v>
      </x:c>
      <x:c r="D27" s="141" t="str">
        <x:v>SEO unit + E2E</x:v>
      </x:c>
      <x:c r="E27" s="141" t="str">
        <x:v>SEO checks plus Playwright unknown facet 404</x:v>
      </x:c>
      <x:c r="F27" s="141" t="str">
        <x:v>Partial pass: unknown 404; reordered URL browser check pending</x:v>
      </x:c>
      <x:c r="G27" s="141" t="str">
        <x:v>Facet cases</x:v>
      </x:c>
      <x:c r="H27" s="141" t="str">
        <x:v>Unknown 404; reordered canonical redirect</x:v>
      </x:c>
    </x:row>
    <x:row r="28">
      <x:c r="A28" s="88" t="str">
        <x:v>T-024</x:v>
      </x:c>
      <x:c r="B28" s="88" t="str">
        <x:v>Detail</x:v>
      </x:c>
      <x:c r="C28" s="141" t="str">
        <x:v>Cars/bikes/parts detail rendering</x:v>
      </x:c>
      <x:c r="D28" s="141" t="str">
        <x:v>E2E</x:v>
      </x:c>
      <x:c r="E28" s="141" t="str">
        <x:v>Route sweep partial</x:v>
      </x:c>
      <x:c r="F28" s="141" t="str">
        <x:v>Pending deep checks</x:v>
      </x:c>
      <x:c r="G28" s="141" t="str">
        <x:v>Representative listing each vertical</x:v>
      </x:c>
      <x:c r="H28" s="141" t="str">
        <x:v>Correct content, metadata, images and specs</x:v>
      </x:c>
    </x:row>
    <x:row r="29">
      <x:c r="A29" s="88" t="str">
        <x:v>T-025</x:v>
      </x:c>
      <x:c r="B29" s="88" t="str">
        <x:v>Contact</x:v>
      </x:c>
      <x:c r="C29" s="141" t="str">
        <x:v>Phone reveal active/inactive</x:v>
      </x:c>
      <x:c r="D29" s="141" t="str">
        <x:v>Integration + E2E</x:v>
      </x:c>
      <x:c r="E29" s="141" t="str">
        <x:v>Desktop/mobile buyer reveal plus database lead count</x:v>
      </x:c>
      <x:c r="F29" s="141" t="str">
        <x:v>Passed active phone reveal and lead log; inactive rejection remains open</x:v>
      </x:c>
      <x:c r="G29" s="141" t="str">
        <x:v>Active and inactive listings</x:v>
      </x:c>
      <x:c r="H29" s="141" t="str">
        <x:v>Active reveals/logs; inactive rejects</x:v>
      </x:c>
    </x:row>
    <x:row r="30">
      <x:c r="A30" s="88" t="str">
        <x:v>T-026</x:v>
      </x:c>
      <x:c r="B30" s="88" t="str">
        <x:v>Contact</x:v>
      </x:c>
      <x:c r="C30" s="141" t="str">
        <x:v>WhatsApp action and lead logging</x:v>
      </x:c>
      <x:c r="D30" s="141" t="str">
        <x:v>E2E + Integration</x:v>
      </x:c>
      <x:c r="E30" s="141" t="str">
        <x:v>Not available</x:v>
      </x:c>
      <x:c r="F30" s="141" t="str">
        <x:v>Blocked by feature</x:v>
      </x:c>
      <x:c r="G30" s="141" t="str">
        <x:v>WhatsApp UI complete</x:v>
      </x:c>
      <x:c r="H30" s="141" t="str">
        <x:v>Correct wa.me link and event</x:v>
      </x:c>
    </x:row>
    <x:row r="31">
      <x:c r="A31" s="88" t="str">
        <x:v>T-027</x:v>
      </x:c>
      <x:c r="B31" s="88" t="str">
        <x:v>Buyer</x:v>
      </x:c>
      <x:c r="C31" s="141" t="str">
        <x:v>Favourite add/remove/ownership</x:v>
      </x:c>
      <x:c r="D31" s="141" t="str">
        <x:v>Integration + E2E</x:v>
      </x:c>
      <x:c r="E31" s="141" t="str">
        <x:v>Automated checks</x:v>
      </x:c>
      <x:c r="F31" s="141" t="str">
        <x:v>Passed; final browser QA deferred</x:v>
      </x:c>
      <x:c r="G31" s="141" t="str">
        <x:v>Favourites complete</x:v>
      </x:c>
      <x:c r="H31" s="141" t="str">
        <x:v>Idempotent owner-specific state</x:v>
      </x:c>
    </x:row>
    <x:row r="32">
      <x:c r="A32" s="88" t="str">
        <x:v>T-028</x:v>
      </x:c>
      <x:c r="B32" s="88" t="str">
        <x:v>Buyer</x:v>
      </x:c>
      <x:c r="C32" s="141" t="str">
        <x:v>Recent views anonymous/account/stale</x:v>
      </x:c>
      <x:c r="D32" s="141" t="str">
        <x:v>E2E</x:v>
      </x:c>
      <x:c r="E32" s="141" t="str">
        <x:v>Automated checks</x:v>
      </x:c>
      <x:c r="F32" s="141" t="str">
        <x:v>Passed; final browser QA deferred</x:v>
      </x:c>
      <x:c r="G32" s="141" t="str">
        <x:v>Recent-view feature complete</x:v>
      </x:c>
      <x:c r="H32" s="141" t="str">
        <x:v>Correct ordering, merge and privacy</x:v>
      </x:c>
    </x:row>
    <x:row r="33">
      <x:c r="A33" s="88" t="str">
        <x:v>T-029</x:v>
      </x:c>
      <x:c r="B33" s="88" t="str">
        <x:v>Buyer</x:v>
      </x:c>
      <x:c r="C33" s="141" t="str">
        <x:v>Comparison compatibility and limit</x:v>
      </x:c>
      <x:c r="D33" s="141" t="str">
        <x:v>Unit + E2E</x:v>
      </x:c>
      <x:c r="E33" s="141" t="str">
        <x:v>Automated checks</x:v>
      </x:c>
      <x:c r="F33" s="141" t="str">
        <x:v>Passed; final responsive QA deferred</x:v>
      </x:c>
      <x:c r="G33" s="141" t="str">
        <x:v>Compare complete</x:v>
      </x:c>
      <x:c r="H33" s="141" t="str">
        <x:v>Only 2-3 compatible valid listings</x:v>
      </x:c>
    </x:row>
    <x:row r="34">
      <x:c r="A34" s="88" t="str">
        <x:v>T-030</x:v>
      </x:c>
      <x:c r="B34" s="88" t="str">
        <x:v>Buyer</x:v>
      </x:c>
      <x:c r="C34" s="141" t="str">
        <x:v>Saved search replay and alert matching</x:v>
      </x:c>
      <x:c r="D34" s="141" t="str">
        <x:v>Integration</x:v>
      </x:c>
      <x:c r="E34" s="141" t="str">
        <x:v>Saved-search UI/static checks plus matching cron and unique outbox in source; no email delivery worker exists</x:v>
      </x:c>
      <x:c r="F34" s="141" t="str">
        <x:v>Partial implementation only: full match/overflow/dedupe/retry and delivered-email acceptance pending</x:v>
      </x:c>
      <x:c r="G34" s="141" t="str">
        <x:v>Implement delivery worker and configure email provider/scheduler</x:v>
      </x:c>
      <x:c r="H34" s="141" t="str">
        <x:v>Exact filters, no duplicate alerts</x:v>
      </x:c>
    </x:row>
    <x:row r="35">
      <x:c r="A35" s="88" t="str">
        <x:v>T-031</x:v>
      </x:c>
      <x:c r="B35" s="88" t="str">
        <x:v>Dealer</x:v>
      </x:c>
      <x:c r="C35" s="141" t="str">
        <x:v>Register dealer and unique slug</x:v>
      </x:c>
      <x:c r="D35" s="141" t="str">
        <x:v>Integration + E2E</x:v>
      </x:c>
      <x:c r="E35" s="141" t="str">
        <x:v>Playwright desktop/mobile dealer registration</x:v>
      </x:c>
      <x:c r="F35" s="141" t="str">
        <x:v>Partial pass: new dealer dashboard and pending badge; duplicate slug case pending</x:v>
      </x:c>
      <x:c r="G35" s="141" t="str">
        <x:v>Authenticated individual</x:v>
      </x:c>
      <x:c r="H35" s="141" t="str">
        <x:v>Dealer/user type created exactly once</x:v>
      </x:c>
    </x:row>
    <x:row r="36">
      <x:c r="A36" s="88" t="str">
        <x:v>T-032</x:v>
      </x:c>
      <x:c r="B36" s="88" t="str">
        <x:v>Dealer</x:v>
      </x:c>
      <x:c r="C36" s="141" t="str">
        <x:v>Storefront visibility and counts</x:v>
      </x:c>
      <x:c r="D36" s="141" t="str">
        <x:v>DB integration + E2E</x:v>
      </x:c>
      <x:c r="E36" s="141" t="str">
        <x:v>Route sweep partial</x:v>
      </x:c>
      <x:c r="F36" s="141" t="str">
        <x:v>Pending automation</x:v>
      </x:c>
      <x:c r="G36" s="141" t="str">
        <x:v>Mixed dealer listing states</x:v>
      </x:c>
      <x:c r="H36" s="141" t="str">
        <x:v>Only active inventory and accurate counts</x:v>
      </x:c>
    </x:row>
    <x:row r="37">
      <x:c r="A37" s="88" t="str">
        <x:v>T-033</x:v>
      </x:c>
      <x:c r="B37" s="88" t="str">
        <x:v>Dealer</x:v>
      </x:c>
      <x:c r="C37" s="141" t="str">
        <x:v>Verification grant/revoke and badges</x:v>
      </x:c>
      <x:c r="D37" s="141" t="str">
        <x:v>Security + E2E</x:v>
      </x:c>
      <x:c r="E37" s="141" t="str">
        <x:v>Desktop/mobile verification/revocation public-badge/audit flow plus direct seller/anonymous replay with identical administrator controls</x:v>
      </x:c>
      <x:c r="F37" s="141" t="str">
        <x:v>Local pass: unauthorized verify/revoke leaves dealer and audit unchanged; admin decisions succeed with exactly one audit each</x:v>
      </x:c>
      <x:c r="G37" s="141" t="str">
        <x:v>Verification admin complete</x:v>
      </x:c>
      <x:c r="H37" s="141" t="str">
        <x:v>Only admin changes status; all badges sync</x:v>
      </x:c>
    </x:row>
    <x:row r="38">
      <x:c r="A38" s="88" t="str">
        <x:v>T-034</x:v>
      </x:c>
      <x:c r="B38" s="88" t="str">
        <x:v>Inspection</x:v>
      </x:c>
      <x:c r="C38" s="141" t="str">
        <x:v>Submit request with/without listing</x:v>
      </x:c>
      <x:c r="D38" s="141" t="str">
        <x:v>Integration + E2E</x:v>
      </x:c>
      <x:c r="E38" s="141" t="str">
        <x:v>Desktop/mobile Chromium standalone and car-linked requests, sign-in continuity, forged-reference rejection, DB link and initial event</x:v>
      </x:c>
      <x:c r="F38" s="141" t="str">
        <x:v>Passed: valid listing link persists with request/event; forged and unavailable IDs fail without a request</x:v>
      </x:c>
      <x:c r="G38" s="141" t="str">
        <x:v>Signed-in user and cities</x:v>
      </x:c>
      <x:c r="H38" s="141" t="str">
        <x:v>Request/reference stored correctly</x:v>
      </x:c>
    </x:row>
    <x:row r="39">
      <x:c r="A39" s="88" t="str">
        <x:v>T-035</x:v>
      </x:c>
      <x:c r="B39" s="88" t="str">
        <x:v>Inspection</x:v>
      </x:c>
      <x:c r="C39" s="141" t="str">
        <x:v>Admin updates request lifecycle</x:v>
      </x:c>
      <x:c r="D39" s="141" t="str">
        <x:v>Security + E2E</x:v>
      </x:c>
      <x:c r="E39" s="141" t="str">
        <x:v>Desktop/mobile creation/customer history plus direct administration replay by owner, foreign seller and anonymous visitor; admin positive control and unchanged DB/audit checks</x:v>
      </x:c>
      <x:c r="F39"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39" s="141" t="str">
        <x:v>Inspection admin complete</x:v>
      </x:c>
      <x:c r="H39" s="141" t="str">
        <x:v>Only admin updates valid transitions</x:v>
      </x:c>
    </x:row>
    <x:row r="40">
      <x:c r="A40" s="88" t="str">
        <x:v>T-036</x:v>
      </x:c>
      <x:c r="B40" s="88" t="str">
        <x:v>Sell Assistance</x:v>
      </x:c>
      <x:c r="C40" s="141" t="str">
        <x:v>Submit/manage Sell My Car request</x:v>
      </x:c>
      <x:c r="D40" s="141" t="str">
        <x:v>Integration + E2E</x:v>
      </x:c>
      <x:c r="E40" s="141" t="str">
        <x:v>Desktop/mobile creation/customer history plus direct administration replay by owner, foreign seller and anonymous visitor; admin positive control and unchanged DB/audit checks</x:v>
      </x:c>
      <x:c r="F40" s="141" t="str">
        <x:v>Local pass for covered paths: unauthorized writes, invalid status jump, missing customer message and terminal-state reopening rejected; valid admin update audited; customer isolation/private-note exclusion pass. Remaining intermediate transitions/live acceptance open.</x:v>
      </x:c>
      <x:c r="G40" s="141" t="str">
        <x:v>Public/admin flows complete</x:v>
      </x:c>
      <x:c r="H40" s="141" t="str">
        <x:v>Valid request and auditable follow-up</x:v>
      </x:c>
    </x:row>
    <x:row r="41">
      <x:c r="A41" s="88" t="str">
        <x:v>T-037</x:v>
      </x:c>
      <x:c r="B41" s="88" t="str">
        <x:v>Reporting</x:v>
      </x:c>
      <x:c r="C41" s="141" t="str">
        <x:v>Anonymous/auth duplicate report protection</x:v>
      </x:c>
      <x:c r="D41" s="141" t="str">
        <x:v>Integration + Security</x:v>
      </x:c>
      <x:c r="E41" s="141" t="str">
        <x:v>Desktop/mobile Chromium anonymous/auth reports, duplicate cookie/account checks, rate-limit denial and DB assertions</x:v>
      </x:c>
      <x:c r="F41" s="141" t="str">
        <x:v>Partial pass: duplicates and excess report writes suppressed; invalid-reason/direct-request cases remain</x:v>
      </x:c>
      <x:c r="G41" s="141" t="str">
        <x:v>Same listing/user/cookie</x:v>
      </x:c>
      <x:c r="H41" s="141" t="str">
        <x:v>At most one report per identity</x:v>
      </x:c>
    </x:row>
    <x:row r="42">
      <x:c r="A42" s="88" t="str">
        <x:v>T-038</x:v>
      </x:c>
      <x:c r="B42" s="88" t="str">
        <x:v>Reporting</x:v>
      </x:c>
      <x:c r="C42" s="141" t="str">
        <x:v>Five-report auto-hide concurrency</x:v>
      </x:c>
      <x:c r="D42" s="141" t="str">
        <x:v>Integration</x:v>
      </x:c>
      <x:c r="E42" s="141" t="str">
        <x:v>Desktop/mobile Chromium sequential reports 1-5 and simultaneous fifth/sixth, public visibility, auto-queue, confirmation and admin resolution</x:v>
      </x:c>
      <x:c r="F42" s="141" t="str">
        <x:v>Passed: four remain public; fifth holds ad; concurrent fifth/sixth yield five open reports and one new queue event</x:v>
      </x:c>
      <x:c r="G42" s="141" t="str">
        <x:v>Four then concurrent fifth/sixth</x:v>
      </x:c>
      <x:c r="H42" s="141" t="str">
        <x:v>Single safe transition and audit entry</x:v>
      </x:c>
    </x:row>
    <x:row r="43">
      <x:c r="A43" s="88" t="str">
        <x:v>T-039</x:v>
      </x:c>
      <x:c r="B43" s="88" t="str">
        <x:v>Moderation</x:v>
      </x:c>
      <x:c r="C43" s="141" t="str">
        <x:v>Admin approve/remove and non-admin denial</x:v>
      </x:c>
      <x:c r="D43" s="141" t="str">
        <x:v>Security + E2E</x:v>
      </x:c>
      <x:c r="E43" s="141" t="str">
        <x:v>Desktop/mobile admin mutation success plus direct flag/remove replay by seller and anonymous visitor; database and audit assertions</x:v>
      </x:c>
      <x:c r="F43" s="141" t="str">
        <x:v>Local pass: unauthorized requests redirect without listing/audit changes; identical administrator requests hide/remove and append audit entries. Live acceptance remains.</x:v>
      </x:c>
      <x:c r="G43" s="141" t="str">
        <x:v>Reported/flagged listings</x:v>
      </x:c>
      <x:c r="H43" s="141" t="str">
        <x:v>Correct statuses, report resolution and audit</x:v>
      </x:c>
    </x:row>
    <x:row r="44">
      <x:c r="A44" s="88" t="str">
        <x:v>T-040</x:v>
      </x:c>
      <x:c r="B44" s="88" t="str">
        <x:v>Admin</x:v>
      </x:c>
      <x:c r="C44" s="141" t="str">
        <x:v>Ban/unban and active session enforcement</x:v>
      </x:c>
      <x:c r="D44" s="141" t="str">
        <x:v>Security + E2E</x:v>
      </x:c>
      <x:c r="E44" s="141" t="str">
        <x:v>Desktop/mobile ban/unban/session-revocation flow plus direct ban replay denied to seller/anonymous visitors with admin success control</x:v>
      </x:c>
      <x:c r="F44" s="141" t="str">
        <x:v>Local pass: unauthorized ban leaves account/audit unchanged; admin ban succeeds and is audited. Live acceptance remains.</x:v>
      </x:c>
      <x:c r="G44" s="141" t="str">
        <x:v>User admin complete</x:v>
      </x:c>
      <x:c r="H44" s="141" t="str">
        <x:v>Only admin acts; banned session rejected</x:v>
      </x:c>
    </x:row>
    <x:row r="45">
      <x:c r="A45" s="88" t="str">
        <x:v>T-041</x:v>
      </x:c>
      <x:c r="B45" s="88" t="str">
        <x:v>Homepage</x:v>
      </x:c>
      <x:c r="C45" s="141" t="str">
        <x:v>Desktop/tablet/mobile visual acceptance</x:v>
      </x:c>
      <x:c r="D45" s="141" t="str">
        <x:v>Visual regression</x:v>
      </x:c>
      <x:c r="E45" s="141" t="str">
        <x:v>Owner homepage review; desktop/mobile Chromium responsive checks; iPhone 13 WebKit navigation, search, width, sign-in and photo-upload smoke</x:v>
      </x:c>
      <x:c r="F45" s="141" t="str">
        <x:v>Partial pass: Chromium and simulated WebKit smoke have no viewport overflow; real Safari/iPhone, camera/keyboard and broader staging QA remain open</x:v>
      </x:c>
      <x:c r="G45" s="141" t="str">
        <x:v>Owner-approved homepage merged in PR #5; PR #6 local acceptance</x:v>
      </x:c>
      <x:c r="H45" s="141" t="str">
        <x:v>No overflow/clipping; approved layout</x:v>
      </x:c>
    </x:row>
    <x:row r="46">
      <x:c r="A46" s="88" t="str">
        <x:v>T-042</x:v>
      </x:c>
      <x:c r="B46" s="88" t="str">
        <x:v>Homepage</x:v>
      </x:c>
      <x:c r="C46" s="141" t="str">
        <x:v>Search tabs and filters</x:v>
      </x:c>
      <x:c r="D46" s="141" t="str">
        <x:v>E2E</x:v>
      </x:c>
      <x:c r="E46" s="141" t="str">
        <x:v>Playwright desktop/mobile homepage search tabs</x:v>
      </x:c>
      <x:c r="F46" s="141" t="str">
        <x:v>Passed: car/bike/parts navigation; deeper filter combinations pending</x:v>
      </x:c>
      <x:c r="G46" s="141" t="str">
        <x:v>Seeded taxonomy</x:v>
      </x:c>
      <x:c r="H46" s="141" t="str">
        <x:v>Correct canonical results URL per category</x:v>
      </x:c>
    </x:row>
    <x:row r="47">
      <x:c r="A47" s="88" t="str">
        <x:v>T-043</x:v>
      </x:c>
      <x:c r="B47" s="88" t="str">
        <x:v>Accessibility</x:v>
      </x:c>
      <x:c r="C47" s="141" t="str">
        <x:v>Keyboard, focus, labels, contrast and zoom</x:v>
      </x:c>
      <x:c r="D47" s="141" t="str">
        <x:v>Automated + Manual</x:v>
      </x:c>
      <x:c r="E47" s="141" t="str">
        <x:v>Automated axe-core audit on 34 public/seller/dealer/admin/vehicle-detail routes in desktop and mobile Chromium; keyboard skip-link test</x:v>
      </x:c>
      <x:c r="F47" s="141" t="str">
        <x:v>Partial pass: automated scan has no violations after contrast, label and landmark fixes; manual screen-reader, zoom, reduced-motion and real-device review open</x:v>
      </x:c>
      <x:c r="G47" s="141" t="str">
        <x:v>Feature-complete UI</x:v>
      </x:c>
      <x:c r="H47" s="141" t="str">
        <x:v>No critical WCAG-oriented failure</x:v>
      </x:c>
    </x:row>
    <x:row r="48">
      <x:c r="A48" s="88" t="str">
        <x:v>T-044</x:v>
      </x:c>
      <x:c r="B48" s="88" t="str">
        <x:v>SEO</x:v>
      </x:c>
      <x:c r="C48" s="141" t="str">
        <x:v>Canonical/indexation/title policy</x:v>
      </x:c>
      <x:c r="D48" s="141" t="str">
        <x:v>Unit</x:v>
      </x:c>
      <x:c r="E48" s="141" t="str">
        <x:v>Automated</x:v>
      </x:c>
      <x:c r="F48" s="141" t="str">
        <x:v>Passed in full project check</x:v>
      </x:c>
      <x:c r="G48" s="141" t="str">
        <x:v>No DB needed</x:v>
      </x:c>
      <x:c r="H48" s="141" t="str">
        <x:v>All assertions pass</x:v>
      </x:c>
    </x:row>
    <x:row r="49">
      <x:c r="A49" s="88" t="str">
        <x:v>T-045</x:v>
      </x:c>
      <x:c r="B49" s="88" t="str">
        <x:v>SEO</x:v>
      </x:c>
      <x:c r="C49" s="141" t="str">
        <x:v>Structured data validation</x:v>
      </x:c>
      <x:c r="D49" s="141" t="str">
        <x:v>Manual + automated schema</x:v>
      </x:c>
      <x:c r="E49" s="141" t="str">
        <x:v>49 local SEO assertions plus desktop/mobile Chromium Product JSON-LD extraction from an active parts listing</x:v>
      </x:c>
      <x:c r="F49" s="141" t="str">
        <x:v>Partial pass: Product type, canonical URL, PKR price, condition and classified-only offer verified; public rich-result validator and production origin/media checks remain</x:v>
      </x:c>
      <x:c r="G49" s="141" t="str">
        <x:v>Deployed staging URL</x:v>
      </x:c>
      <x:c r="H49" s="141" t="str">
        <x:v>No critical schema errors</x:v>
      </x:c>
    </x:row>
    <x:row r="50">
      <x:c r="A50" s="88" t="str">
        <x:v>T-046</x:v>
      </x:c>
      <x:c r="B50" s="88" t="str">
        <x:v>SEO</x:v>
      </x:c>
      <x:c r="C50" s="141" t="str">
        <x:v>Sitemap/robots by environment</x:v>
      </x:c>
      <x:c r="D50" s="141" t="str">
        <x:v>Integration</x:v>
      </x:c>
      <x:c r="E50" s="141" t="str">
        <x:v>Route sweep partial</x:v>
      </x:c>
      <x:c r="F50" s="141" t="str">
        <x:v>Pending deployment</x:v>
      </x:c>
      <x:c r="G50" s="141" t="str">
        <x:v>Staging and production env</x:v>
      </x:c>
      <x:c r="H50" s="141" t="str">
        <x:v>Staging blocked; production canonical URLs only</x:v>
      </x:c>
    </x:row>
    <x:row r="51">
      <x:c r="A51" s="88" t="str">
        <x:v>T-047</x:v>
      </x:c>
      <x:c r="B51" s="88" t="str">
        <x:v>Security</x:v>
      </x:c>
      <x:c r="C51" s="141" t="str">
        <x:v>Rate-limit abuse suite</x:v>
      </x:c>
      <x:c r="D51" s="141" t="str">
        <x:v>Security/load</x:v>
      </x:c>
      <x:c r="E51" s="141" t="str">
        <x:v>Atomic PostgreSQL bucket check plus desktop/mobile sign-in, upload, contact, report, inspection, assistance, car publication and account/dealer settings denial</x:v>
      </x:c>
      <x:c r="F51" s="141" t="str">
        <x:v>Partial pass: covered limits block excess writes; denied account/dealer profile, password and image changes preserve database state. Staging proxy, expiry and remaining actions open.</x:v>
      </x:c>
      <x:c r="G51" s="141" t="str">
        <x:v>Rate limits complete</x:v>
      </x:c>
      <x:c r="H51" s="141" t="str">
        <x:v>Limits trigger predictably and recover</x:v>
      </x:c>
    </x:row>
    <x:row r="52">
      <x:c r="A52" s="88" t="str">
        <x:v>T-048</x:v>
      </x:c>
      <x:c r="B52" s="88" t="str">
        <x:v>Security</x:v>
      </x:c>
      <x:c r="C52" s="141" t="str">
        <x:v>OWASP/IDOR/upload/CSP assessment</x:v>
      </x:c>
      <x:c r="D52" s="141" t="str">
        <x:v>Security review</x:v>
      </x:c>
      <x:c r="E52" s="141" t="str">
        <x:v>Local authorization replay, upload/content/origin/rate-limit/private-read regressions and CI dependency audit</x:v>
      </x:c>
      <x:c r="F52" s="141" t="str">
        <x:v>Partial pass locally; formal infrastructure review, remaining action negatives and Cloudflare private delivery open</x:v>
      </x:c>
      <x:c r="G52" s="141" t="str">
        <x:v>Feature-complete staging</x:v>
      </x:c>
      <x:c r="H52" s="141" t="str">
        <x:v>No unresolved critical/high findings</x:v>
      </x:c>
    </x:row>
    <x:row r="53">
      <x:c r="A53" s="88" t="str">
        <x:v>T-049</x:v>
      </x:c>
      <x:c r="B53" s="88" t="str">
        <x:v>Performance</x:v>
      </x:c>
      <x:c r="C53" s="141" t="str">
        <x:v>20k listings query plan</x:v>
      </x:c>
      <x:c r="D53" s="141" t="str">
        <x:v>Database performance</x:v>
      </x:c>
      <x:c r="E53" s="141" t="str">
        <x:v>Not run</x:v>
      </x:c>
      <x:c r="F53" s="141" t="str">
        <x:v>Pre-launch</x:v>
      </x:c>
      <x:c r="G53" s="141" t="str">
        <x:v>Production-like DB</x:v>
      </x:c>
      <x:c r="H53" s="141" t="str">
        <x:v>Index usage and acceptable P95</x:v>
      </x:c>
    </x:row>
    <x:row r="54">
      <x:c r="A54" s="88" t="str">
        <x:v>T-050</x:v>
      </x:c>
      <x:c r="B54" s="88" t="str">
        <x:v>Performance</x:v>
      </x:c>
      <x:c r="C54" s="141" t="str">
        <x:v>500 concurrent user ramp/soak</x:v>
      </x:c>
      <x:c r="D54" s="141" t="str">
        <x:v>Load</x:v>
      </x:c>
      <x:c r="E54" s="141" t="str">
        <x:v>Not run</x:v>
      </x:c>
      <x:c r="F54" s="141" t="str">
        <x:v>Pre-launch</x:v>
      </x:c>
      <x:c r="G54" s="141" t="str">
        <x:v>Production-like staging</x:v>
      </x:c>
      <x:c r="H54" s="141" t="str">
        <x:v>Error/latency/DB pool stay within target</x:v>
      </x:c>
    </x:row>
    <x:row r="55">
      <x:c r="A55" s="88" t="str">
        <x:v>T-051</x:v>
      </x:c>
      <x:c r="B55" s="88" t="str">
        <x:v>Operations</x:v>
      </x:c>
      <x:c r="C55" s="141" t="str">
        <x:v>Clean migration and seed</x:v>
      </x:c>
      <x:c r="D55" s="141" t="str">
        <x:v>Deployment integration</x:v>
      </x:c>
      <x:c r="E55" s="141" t="str">
        <x:v>GitHub CI plus local clean isolated DB</x:v>
      </x:c>
      <x:c r="F55" s="141" t="str">
        <x:v>Passed local isolated migrations/seed and CI run 37 on a96704b</x:v>
      </x:c>
      <x:c r="G55" s="141" t="str">
        <x:v>Fresh PostgreSQL</x:v>
      </x:c>
      <x:c r="H55" s="141" t="str">
        <x:v>Schema/seed complete without errors</x:v>
      </x:c>
    </x:row>
    <x:row r="56">
      <x:c r="A56" s="88" t="str">
        <x:v>T-052</x:v>
      </x:c>
      <x:c r="B56" s="88" t="str">
        <x:v>Operations</x:v>
      </x:c>
      <x:c r="C56" s="141" t="str">
        <x:v>Backup restoration drill</x:v>
      </x:c>
      <x:c r="D56" s="141" t="str">
        <x:v>Operational</x:v>
      </x:c>
      <x:c r="E56" s="141" t="str">
        <x:v>Not run</x:v>
      </x:c>
      <x:c r="F56" s="141" t="str">
        <x:v>Pre-launch</x:v>
      </x:c>
      <x:c r="G56" s="141" t="str">
        <x:v>Production-like backup</x:v>
      </x:c>
      <x:c r="H56" s="141" t="str">
        <x:v>Restored system passes smoke tests</x:v>
      </x:c>
    </x:row>
    <x:row r="57">
      <x:c r="A57" s="88" t="str">
        <x:v>T-053</x:v>
      </x:c>
      <x:c r="B57" s="88" t="str">
        <x:v>Operations</x:v>
      </x:c>
      <x:c r="C57" s="141" t="str">
        <x:v>Cron authentication and monitoring</x:v>
      </x:c>
      <x:c r="D57" s="141" t="str">
        <x:v>Integration/Operational</x:v>
      </x:c>
      <x:c r="E57" s="141" t="str">
        <x:v>Local orphan-purge and expiry cron authentication; due/future expiry selection and owner reactivation browser/DB acceptance</x:v>
      </x:c>
      <x:c r="F57" s="141" t="str">
        <x:v>Local cleanup/expiry checks pass; production scheduling, monitoring and saved-alert edge cases remain</x:v>
      </x:c>
      <x:c r="G57" s="141" t="str">
        <x:v>Configured CRON_SECRET</x:v>
      </x:c>
      <x:c r="H57" s="141" t="str">
        <x:v>Authorized jobs run; failures alert</x:v>
      </x:c>
    </x:row>
    <x:row r="58">
      <x:c r="A58" s="88" t="str">
        <x:v>T-054</x:v>
      </x:c>
      <x:c r="B58" s="88" t="str">
        <x:v>Operations</x:v>
      </x:c>
      <x:c r="C58" s="141" t="str">
        <x:v>Production smoke and rollback</x:v>
      </x:c>
      <x:c r="D58" s="141" t="str">
        <x:v>E2E/Operational</x:v>
      </x:c>
      <x:c r="E58" s="141" t="str">
        <x:v>Not run</x:v>
      </x:c>
      <x:c r="F58" s="141" t="str">
        <x:v>Launch gate</x:v>
      </x:c>
      <x:c r="G58" s="141" t="str">
        <x:v>Production deployment</x:v>
      </x:c>
      <x:c r="H58" s="141" t="str">
        <x:v>Critical journeys pass or rollback executes</x:v>
      </x:c>
    </x:row>
    <x:row r="59">
      <x:c r="A59" t="str">
        <x:v>T-055</x:v>
      </x:c>
      <x:c r="B59" t="str">
        <x:v>Authentication</x:v>
      </x:c>
      <x:c r="C59" t="str">
        <x:v>Google OAuth local signup and schema drift repair</x:v>
      </x:c>
      <x:c r="D59" t="str">
        <x:v>DB integration + targeted E2E</x:v>
      </x:c>
      <x:c r="E59" t="str">
        <x:v>Automated + manual</x:v>
      </x:c>
      <x:c r="F59" t="str">
        <x:v>Passed 8 Sep 2026</x:v>
      </x:c>
      <x:c r="G59" t="str">
        <x:v>Configured local Google provider and PostgreSQL</x:v>
      </x:c>
      <x:c r="H59" t="str">
        <x:v>Callback succeeds; repair is idempotent and users.updated_at is present</x:v>
      </x:c>
    </x:row>
    <x:row r="60">
      <x:c r="A60" t="str">
        <x:v>T-056</x:v>
      </x:c>
      <x:c r="B60" t="str">
        <x:v>Content &amp; Legal</x:v>
      </x:c>
      <x:c r="C60" t="str">
        <x:v>Legal/content routes, metadata and footer navigation</x:v>
      </x:c>
      <x:c r="D60" t="str">
        <x:v>Static + HTTP smoke</x:v>
      </x:c>
      <x:c r="E60" t="str">
        <x:v>Automated + targeted manual</x:v>
      </x:c>
      <x:c r="F60" t="str">
        <x:v>Passed 8 Sep 2026</x:v>
      </x:c>
      <x:c r="G60" t="str">
        <x:v>Stage 6.1 implementation</x:v>
      </x:c>
      <x:c r="H60" t="str">
        <x:v>Six routes return 200, expose page headings/titles and are linked from the footer</x:v>
      </x:c>
    </x:row>
    <x:row r="61">
      <x:c r="A61" t="str">
        <x:v>T-057</x:v>
      </x:c>
      <x:c r="B61" t="str">
        <x:v>Map Location</x:v>
      </x:c>
      <x:c r="C61" t="str">
        <x:v>Google Maps create/edit/public approximate-location acceptance</x:v>
      </x:c>
      <x:c r="D61" t="str">
        <x:v>DB + privacy + E2E</x:v>
      </x:c>
      <x:c r="E61" t="str">
        <x:v>Automated partial</x:v>
      </x:c>
      <x:c r="F61" t="str">
        <x:v>Blocked by Google Maps billing</x:v>
      </x:c>
      <x:c r="G61" t="str">
        <x:v>Billing enabled and configured local key</x:v>
      </x:c>
      <x:c r="H61" t="str">
        <x:v>Map loads in all seller forms; exact pin stays private; public map shows only coarse location</x:v>
      </x:c>
    </x:row>
  </x:sheetData>
  <x:mergeCells>
    <x:mergeCell ref="A1:H1"/>
    <x:mergeCell ref="A2:H2"/>
  </x:mergeCells>
  <x:pageMargins left="0.7" right="0.7" top="0.75" bottom="0.75" header="0.3" footer="0.3"/>
  <x:tableParts count="1">
    <x:tablePart xmlns:r="http://schemas.openxmlformats.org/officeDocument/2006/relationships" r:id="R553907c3a87c492f"/>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6" hidden="0" customWidth="1"/>
    <x:col min="3" max="3" width="25" hidden="0" customWidth="1"/>
    <x:col min="4" max="4" width="48" hidden="0" customWidth="1"/>
  </x:cols>
  <x:sheetData>
    <x:row r="1">
      <x:c r="A1" s="138" t="str">
        <x:v>JaniWheels V1 Scope Guardrails</x:v>
      </x:c>
      <x:c r="B1" s="138"/>
      <x:c r="C1" s="138"/>
      <x:c r="D1" s="138"/>
    </x:row>
    <x:row r="2">
      <x:c r="A2" s="139" t="str">
        <x:v>These items must not enter V1 development unless the signed proposal is formally changed.</x:v>
      </x:c>
      <x:c r="B2" s="139"/>
      <x:c r="C2" s="139"/>
      <x:c r="D2" s="139"/>
    </x:row>
    <x:row r="3">
      <x:c r="A3" s="88"/>
      <x:c r="B3" s="88"/>
      <x:c r="C3" s="88"/>
      <x:c r="D3" s="88"/>
    </x:row>
    <x:row r="4">
      <x:c r="A4" s="113" t="str">
        <x:v>Area</x:v>
      </x:c>
      <x:c r="B4" s="113" t="str">
        <x:v>Excluded Functionality</x:v>
      </x:c>
      <x:c r="C4" s="113" t="str">
        <x:v>Status</x:v>
      </x:c>
      <x:c r="D4" s="113" t="str">
        <x:v>Rule</x:v>
      </x:c>
    </x:row>
    <x:row r="5">
      <x:c r="A5" s="88" t="str">
        <x:v>Payments</x:v>
      </x:c>
      <x:c r="B5" s="141" t="str">
        <x:v>JazzCash, Easypaisa, cards, callbacks, billing</x:v>
      </x:c>
      <x:c r="C5" s="141" t="str">
        <x:v>Removed / Do Not Build</x:v>
      </x:c>
      <x:c r="D5" s="141" t="str">
        <x:v>Signed change request required</x:v>
      </x:c>
    </x:row>
    <x:row r="6">
      <x:c r="A6" s="88" t="str">
        <x:v>Paid placement</x:v>
      </x:c>
      <x:c r="B6" s="141" t="str">
        <x:v>Featured ads, promoted listings, bumps</x:v>
      </x:c>
      <x:c r="C6" s="141" t="str">
        <x:v>Removed / Do Not Build</x:v>
      </x:c>
      <x:c r="D6" s="141" t="str">
        <x:v>Use genuine Latest Listings only</x:v>
      </x:c>
    </x:row>
    <x:row r="7">
      <x:c r="A7" s="88" t="str">
        <x:v>Dealer monetization</x:v>
      </x:c>
      <x:c r="B7" s="141" t="str">
        <x:v>Subscriptions, paid plans, billing analytics</x:v>
      </x:c>
      <x:c r="C7" s="141" t="str">
        <x:v>Removed / Do Not Build</x:v>
      </x:c>
      <x:c r="D7" s="141" t="str">
        <x:v>Basic dashboard remains V1</x:v>
      </x:c>
    </x:row>
    <x:row r="8">
      <x:c r="A8" s="88" t="str">
        <x:v>Finance</x:v>
      </x:c>
      <x:c r="B8" s="141" t="str">
        <x:v>Financing calculator, banks, insurance</x:v>
      </x:c>
      <x:c r="C8" s="141" t="str">
        <x:v>Removed / Do Not Build</x:v>
      </x:c>
      <x:c r="D8" s="141" t="str">
        <x:v>Signed change request required</x:v>
      </x:c>
    </x:row>
    <x:row r="9">
      <x:c r="A9" s="88" t="str">
        <x:v>Valuation/AI</x:v>
      </x:c>
      <x:c r="B9" s="141" t="str">
        <x:v>Price prediction and recommendation engines</x:v>
      </x:c>
      <x:c r="C9" s="141" t="str">
        <x:v>Removed / Do Not Build</x:v>
      </x:c>
      <x:c r="D9" s="141" t="str">
        <x:v>Signed change request required</x:v>
      </x:c>
    </x:row>
    <x:row r="10">
      <x:c r="A10" s="88" t="str">
        <x:v>Imports</x:v>
      </x:c>
      <x:c r="B10" s="141" t="str">
        <x:v>CSV/bulk/automatic third-party inventory imports</x:v>
      </x:c>
      <x:c r="C10" s="141" t="str">
        <x:v>Removed / Do Not Build</x:v>
      </x:c>
      <x:c r="D10" s="141" t="str">
        <x:v>Manual approved forms only</x:v>
      </x:c>
    </x:row>
    <x:row r="11">
      <x:c r="A11" s="88" t="str">
        <x:v>Parts e-commerce</x:v>
      </x:c>
      <x:c r="B11" s="141" t="str">
        <x:v>Cart, checkout, shipping, fulfilment, orders, tracking</x:v>
      </x:c>
      <x:c r="C11" s="141" t="str">
        <x:v>Removed / Do Not Build</x:v>
      </x:c>
      <x:c r="D11" s="141" t="str">
        <x:v>Parts remain classified contact only</x:v>
      </x:c>
    </x:row>
    <x:row r="12">
      <x:c r="A12" s="88" t="str">
        <x:v>SMS OTP</x:v>
      </x:c>
      <x:c r="B12" s="141" t="str">
        <x:v>Twilio/SMS login or verification</x:v>
      </x:c>
      <x:c r="C12" s="141" t="str">
        <x:v>Removed / Do Not Build</x:v>
      </x:c>
      <x:c r="D12" s="141" t="str">
        <x:v>Google-first and verified-email authentication with secure email reset; SMS OTP remains excluded</x:v>
      </x:c>
    </x:row>
    <x:row r="13">
      <x:c r="A13" s="88" t="str">
        <x:v>Inspection operations</x:v>
      </x:c>
      <x:c r="B13" s="141" t="str">
        <x:v>Packages, payments, inspector apps, scheduling, scoring, PDF reports</x:v>
      </x:c>
      <x:c r="C13" s="141" t="str">
        <x:v>Removed / Do Not Build</x:v>
      </x:c>
      <x:c r="D13" s="141" t="str">
        <x:v>Request and manual follow-up only</x:v>
      </x:c>
    </x:row>
    <x:row r="14">
      <x:c r="A14" s="88" t="str">
        <x:v>Internal chat</x:v>
      </x:c>
      <x:c r="B14" s="141" t="str">
        <x:v>Buyer-seller chat and WhatsApp Business automation</x:v>
      </x:c>
      <x:c r="C14" s="141" t="str">
        <x:v>Not in V1</x:v>
      </x:c>
      <x:c r="D14" s="141" t="str">
        <x:v>Direct phone/approved WhatsApp link only</x:v>
      </x:c>
    </x:row>
    <x:row r="15">
      <x:c r="A15" s="88" t="str">
        <x:v>Enterprise systems</x:v>
      </x:c>
      <x:c r="B15" s="141" t="str">
        <x:v>Advanced CRM, ERP, BI and multilingual functionality</x:v>
      </x:c>
      <x:c r="C15" s="141" t="str">
        <x:v>Not in V1</x:v>
      </x:c>
      <x:c r="D15" s="141" t="str">
        <x:v>Signed change request required</x:v>
      </x:c>
    </x:row>
    <x:row r="16">
      <x:c r="A16" s="88" t="str">
        <x:v>Fake marketplace content</x:v>
      </x:c>
      <x:c r="B16" s="141" t="str">
        <x:v>Fake counts, reviews, testimonials or verified claims</x:v>
      </x:c>
      <x:c r="C16" s="141" t="str">
        <x:v>Prohibited</x:v>
      </x:c>
      <x:c r="D16" s="141" t="str">
        <x:v>Display only accurate database-backed information</x:v>
      </x:c>
    </x:row>
  </x:sheetData>
  <x:mergeCells>
    <x:mergeCell ref="A1:D1"/>
    <x:mergeCell ref="A2:D2"/>
  </x:mergeCells>
  <x:pageMargins left="0.7" right="0.7" top="0.75" bottom="0.75" header="0.3" footer="0.3"/>
  <x:tableParts count="1">
    <x:tablePart xmlns:r="http://schemas.openxmlformats.org/officeDocument/2006/relationships" r:id="Rfd90ae8fceb24bf4"/>
  </x:tableParts>
</x:worksheet>
</file>

<file path=xl/worksheets/sheet7.xml><?xml version="1.0" encoding="utf-8"?>
<x:worksheet xmlns:x="http://schemas.openxmlformats.org/spreadsheetml/2006/main">
  <x:sheetViews>
    <x:sheetView showGridLines="0" workbookViewId="0"/>
  </x:sheetViews>
  <x:sheetFormatPr defaultRowHeight="15"/>
  <x:cols>
    <x:col min="1" max="1" width="34" hidden="0" customWidth="1"/>
    <x:col min="2" max="2" width="34" hidden="0" customWidth="1"/>
    <x:col min="3" max="3" width="34" hidden="0" customWidth="1"/>
    <x:col min="4" max="4" width="34" hidden="0" customWidth="1"/>
  </x:cols>
  <x:sheetData>
    <x:row r="1">
      <x:c r="A1" s="2" t="str">
        <x:v>Status</x:v>
      </x:c>
      <x:c r="B1" s="2" t="str">
        <x:v>Priority</x:v>
      </x:c>
      <x:c r="C1" s="2" t="str">
        <x:v>Owner</x:v>
      </x:c>
      <x:c r="D1" s="2" t="str">
        <x:v>Stage</x:v>
      </x:c>
    </x:row>
    <x:row r="2">
      <x:c r="A2" t="str">
        <x:v>Completed</x:v>
      </x:c>
      <x:c r="B2" t="str">
        <x:v>Critical</x:v>
      </x:c>
      <x:c r="C2" t="str">
        <x:v>Unassigned</x:v>
      </x:c>
      <x:c r="D2" t="str">
        <x:v>Stage 0</x:v>
      </x:c>
    </x:row>
    <x:row r="3">
      <x:c r="A3" t="str">
        <x:v>Complete on Feature Branch - Awaiting Review</x:v>
      </x:c>
      <x:c r="B3" t="str">
        <x:v>High</x:v>
      </x:c>
      <x:c r="C3" t="str">
        <x:v>UI/UX</x:v>
      </x:c>
      <x:c r="D3" t="str">
        <x:v>Stage 1</x:v>
      </x:c>
    </x:row>
    <x:row r="4">
      <x:c r="A4" t="str">
        <x:v>Partially Implemented</x:v>
      </x:c>
      <x:c r="B4" t="str">
        <x:v>Medium</x:v>
      </x:c>
      <x:c r="C4" t="str">
        <x:v>Frontend</x:v>
      </x:c>
      <x:c r="D4" t="str">
        <x:v>Stage 2</x:v>
      </x:c>
    </x:row>
    <x:row r="5">
      <x:c r="A5" t="str">
        <x:v>Data Layer Only</x:v>
      </x:c>
      <x:c r="B5" t="str">
        <x:v>Low</x:v>
      </x:c>
      <x:c r="C5" t="str">
        <x:v>Backend</x:v>
      </x:c>
      <x:c r="D5" t="str">
        <x:v>Stage 3</x:v>
      </x:c>
    </x:row>
    <x:row r="6">
      <x:c r="A6" t="str">
        <x:v>Requires Correction</x:v>
      </x:c>
      <x:c r="B6" t="str">
        <x:v>Do Not Build</x:v>
      </x:c>
      <x:c r="C6" t="str">
        <x:v>Full Stack</x:v>
      </x:c>
      <x:c r="D6" t="str">
        <x:v>Stage 4</x:v>
      </x:c>
    </x:row>
    <x:row r="7">
      <x:c r="A7" t="str">
        <x:v>Pending</x:v>
      </x:c>
      <x:c r="B7"/>
      <x:c r="C7" t="str">
        <x:v>QA</x:v>
      </x:c>
      <x:c r="D7" t="str">
        <x:v>Stage 5</x:v>
      </x:c>
    </x:row>
    <x:row r="8">
      <x:c r="A8" t="str">
        <x:v>Launch Configuration Pending</x:v>
      </x:c>
      <x:c r="B8"/>
      <x:c r="C8" t="str">
        <x:v>DevOps</x:v>
      </x:c>
      <x:c r="D8" t="str">
        <x:v>Stage 6</x:v>
      </x:c>
    </x:row>
    <x:row r="9">
      <x:c r="A9" t="str">
        <x:v>Out of Scope / Removed</x:v>
      </x:c>
      <x:c r="B9"/>
      <x:c r="C9" t="str">
        <x:v>Admin/Operations</x:v>
      </x:c>
      <x:c r="D9" t="str">
        <x:v>Post-V1</x:v>
      </x:c>
    </x:row>
    <x:row r="10">
      <x:c r="A10"/>
      <x:c r="B10"/>
      <x:c r="C10" t="str">
        <x:v>Content/Legal</x:v>
      </x:c>
      <x:c r="D10" t="str">
        <x:v>Excluded</x:v>
      </x:c>
    </x:row>
  </x:sheetData>
  <x:pageMargins left="0.7" right="0.7" top="0.75" bottom="0.75" header="0.3" footer="0.3"/>
</x:worksheet>
</file>