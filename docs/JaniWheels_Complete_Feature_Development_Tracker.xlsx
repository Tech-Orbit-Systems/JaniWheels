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df9a2d8297243be" /></Relationships>
</file>

<file path=xl/workbook.xml><?xml version="1.0" encoding="utf-8"?>
<x:workbook xmlns:x="http://schemas.openxmlformats.org/spreadsheetml/2006/main">
  <x:sheets>
    <x:sheet xmlns:r="http://schemas.openxmlformats.org/officeDocument/2006/relationships" name="Dashboard" sheetId="1" r:id="Rdbbeae8b7cf045e1"/>
    <x:sheet xmlns:r="http://schemas.openxmlformats.org/officeDocument/2006/relationships" name="Governance &amp; Usage" sheetId="2" r:id="R0cdeef88622c48b1"/>
    <x:sheet xmlns:r="http://schemas.openxmlformats.org/officeDocument/2006/relationships" name="Feature Tracker" sheetId="3" r:id="R444addfb44de4f3d"/>
    <x:sheet xmlns:r="http://schemas.openxmlformats.org/officeDocument/2006/relationships" name="Development Roadmap" sheetId="4" r:id="Ra4cb348fe2ed4bbf"/>
    <x:sheet xmlns:r="http://schemas.openxmlformats.org/officeDocument/2006/relationships" name="Test Matrix" sheetId="5" r:id="Re94a8e8b046942f5"/>
    <x:sheet xmlns:r="http://schemas.openxmlformats.org/officeDocument/2006/relationships" name="Scope Guardrails" sheetId="6" r:id="R75c07b816a674626"/>
    <x:sheet xmlns:r="http://schemas.openxmlformats.org/officeDocument/2006/relationships" name="Lists" sheetId="7" r:id="Rb747cd702a964ec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3">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xf numFmtId="201" fontId="19" fillId="5" borderId="6" xfId="0" applyNumberFormat="1" applyFont="1" applyFill="1" applyBorder="1"/>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3c23fcf00b94900" /><Relationship Type="http://schemas.openxmlformats.org/officeDocument/2006/relationships/theme" Target="/xl/theme/theme1.xml" Id="R6d374c86d1724944" /><Relationship Type="http://schemas.openxmlformats.org/officeDocument/2006/relationships/sharedStrings" Target="/xl/sharedStrings.xml" Id="R64489a5a80754818" /><Relationship Type="http://schemas.openxmlformats.org/officeDocument/2006/relationships/worksheet" Target="/xl/worksheets/sheet1.xml" Id="Rdbbeae8b7cf045e1" /><Relationship Type="http://schemas.openxmlformats.org/officeDocument/2006/relationships/worksheet" Target="/xl/worksheets/sheet2.xml" Id="R0cdeef88622c48b1" /><Relationship Type="http://schemas.openxmlformats.org/officeDocument/2006/relationships/worksheet" Target="/xl/worksheets/sheet3.xml" Id="R444addfb44de4f3d" /><Relationship Type="http://schemas.openxmlformats.org/officeDocument/2006/relationships/worksheet" Target="/xl/worksheets/sheet4.xml" Id="Ra4cb348fe2ed4bbf" /><Relationship Type="http://schemas.openxmlformats.org/officeDocument/2006/relationships/worksheet" Target="/xl/worksheets/sheet5.xml" Id="Re94a8e8b046942f5" /><Relationship Type="http://schemas.openxmlformats.org/officeDocument/2006/relationships/worksheet" Target="/xl/worksheets/sheet6.xml" Id="R75c07b816a674626" /><Relationship Type="http://schemas.openxmlformats.org/officeDocument/2006/relationships/worksheet" Target="/xl/worksheets/sheet7.xml" Id="Rb747cd702a964ec3" /></Relationships>
</file>

<file path=xl/drawings/_rels/drawing1.xml.rels>&#65279;<?xml version="1.0" encoding="utf-8"?><Relationships xmlns="http://schemas.openxmlformats.org/package/2006/relationships"><Relationship Type="http://schemas.openxmlformats.org/officeDocument/2006/relationships/chart" Target="/xl/drawings/charts/chart1.xml" Id="R3e9a69fceb3443d8"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e9a69fceb3443d8"/>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719b27bccec4c1f" /></Relationships>
</file>

<file path=xl/worksheets/_rels/sheet3.xml.rels>&#65279;<?xml version="1.0" encoding="utf-8"?><Relationships xmlns="http://schemas.openxmlformats.org/package/2006/relationships"><Relationship Type="http://schemas.openxmlformats.org/officeDocument/2006/relationships/table" Target="/xl/tables/table1.xml" Id="R7dc492b3f759408d" /></Relationships>
</file>

<file path=xl/worksheets/_rels/sheet4.xml.rels>&#65279;<?xml version="1.0" encoding="utf-8"?><Relationships xmlns="http://schemas.openxmlformats.org/package/2006/relationships"><Relationship Type="http://schemas.openxmlformats.org/officeDocument/2006/relationships/table" Target="/xl/tables/table2.xml" Id="R1fa9cae348764745" /></Relationships>
</file>

<file path=xl/worksheets/_rels/sheet5.xml.rels>&#65279;<?xml version="1.0" encoding="utf-8"?><Relationships xmlns="http://schemas.openxmlformats.org/package/2006/relationships"><Relationship Type="http://schemas.openxmlformats.org/officeDocument/2006/relationships/table" Target="/xl/tables/table3.xml" Id="R978a9fe611e54bc5" /></Relationships>
</file>

<file path=xl/worksheets/_rels/sheet6.xml.rels>&#65279;<?xml version="1.0" encoding="utf-8"?><Relationships xmlns="http://schemas.openxmlformats.org/package/2006/relationships"><Relationship Type="http://schemas.openxmlformats.org/officeDocument/2006/relationships/table" Target="/xl/tables/table4.xml" Id="R11cf66df439b45aa"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 - 8 October 2026</x:v>
      </x:c>
      <x:c r="B1" s="86"/>
      <x:c r="C1" s="86"/>
      <x:c r="D1" s="86"/>
      <x:c r="E1" s="86"/>
      <x:c r="F1" s="86"/>
      <x:c r="G1" s="86"/>
      <x:c r="H1" s="86"/>
      <x:c r="I1" s="86"/>
      <x:c r="J1" s="86"/>
    </x:row>
    <x:row r="2" ht="32" customHeight="1">
      <x:c r="A2" s="87" t="str">
        <x:v>Completion is the equal-weight average of in-scope feature estimates, not effort spent or launch approval. Evidence, remaining gates and next actions are recorded in Feature Tracker.</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ht="16.799999237060547" hidden="0" customHeight="1">
      <x:c r="A5" s="90" t="str">
        <x:v>In-scope feature rows</x:v>
      </x:c>
      <x:c r="B5" s="91" t="n">
        <x:f>COUNTIFS('Feature Tracker'!$A$5:$A$215,"&lt;&gt;",'Feature Tracker'!$E$5:$E$215,"&lt;&gt;Excluded / Change Request",'Feature Tracker'!$F$5:$F$215,"&lt;&gt;Out of Scope / Removed")</x:f>
        <x:v>199</x:v>
      </x:c>
      <x:c r="C5" s="88"/>
      <x:c r="D5" s="92" t="str">
        <x:v>TypeScript</x:v>
      </x:c>
      <x:c r="E5" s="93" t="str">
        <x:v>Passed</x:v>
      </x:c>
      <x:c r="F5" s="94" t="str">
        <x:v>Local checks passed</x:v>
      </x:c>
      <x:c r="G5" s="92" t="str">
        <x:v>Current branch</x:v>
      </x:c>
      <x:c r="H5" s="93" t="str">
        <x:v>codex/launch-quality-system; PR #6</x:v>
      </x:c>
      <x:c r="I5" s="93"/>
      <x:c r="J5" s="94"/>
    </x:row>
    <x:row r="6" ht="16.799999237060547" hidden="0" customHeight="1">
      <x:c r="A6" s="95" t="str">
        <x:v>Completed</x:v>
      </x:c>
      <x:c r="B6" s="96" t="n">
        <x:f>COUNTIF('Feature Tracker'!$F$5:$F$215,"Completed")</x:f>
        <x:v>157</x:v>
      </x:c>
      <x:c r="C6" s="88"/>
      <x:c r="D6" s="97" t="str">
        <x:v>Lint</x:v>
      </x:c>
      <x:c r="E6" s="98" t="str">
        <x:v>Passed</x:v>
      </x:c>
      <x:c r="F6" s="99" t="str">
        <x:v>No warnings/errors</x:v>
      </x:c>
      <x:c r="G6" s="97" t="str">
        <x:v>Current stage</x:v>
      </x:c>
      <x:c r="H6" s="98" t="str">
        <x:v>Homepage merged via PR #5; Stage 6.2 active</x:v>
      </x:c>
      <x:c r="I6" s="98"/>
      <x:c r="J6" s="99"/>
    </x:row>
    <x:row r="7" ht="26.399999618530273" hidden="0" customHeight="1">
      <x:c r="A7" s="95" t="str">
        <x:v>Feature branch review</x:v>
      </x:c>
      <x:c r="B7" s="96" t="n">
        <x:f>COUNTIF('Feature Tracker'!$F$5:$F$215,"Complete on Feature Branch - Awaiting Review")</x:f>
        <x:v>1</x:v>
      </x:c>
      <x:c r="C7" s="88"/>
      <x:c r="D7" s="97" t="str">
        <x:v>Google auth</x:v>
      </x:c>
      <x:c r="E7" s="98" t="str">
        <x:v>Passed</x:v>
      </x:c>
      <x:c r="F7" s="99" t="str">
        <x:v>Local signup/checks pass; live provider review open</x:v>
      </x:c>
      <x:c r="G7" s="97" t="str">
        <x:v>Current PR / CI</x:v>
      </x:c>
      <x:c r="H7" s="98" t="str">
        <x:v>PR #6: second fresh review found admin/closure P2 deadlock and malformed-ID P3; local fixes pass, latest CI/re-review pending</x:v>
      </x:c>
      <x:c r="I7" s="98"/>
      <x:c r="J7" s="99"/>
    </x:row>
    <x:row r="8" ht="26.399999618530273" hidden="0" customHeight="1">
      <x:c r="A8" s="95" t="str">
        <x:v>Partial / configuration</x:v>
      </x:c>
      <x:c r="B8" s="96" t="n">
        <x:f>COUNTIF('Feature Tracker'!$F$5:$F$215,"Partially Implemented")+COUNTIF('Feature Tracker'!$F$5:$F$215,"Data Layer Only")+COUNTIF('Feature Tracker'!$F$5:$F$215,"Launch Configuration Pending")</x:f>
        <x:v>34</x:v>
      </x:c>
      <x:c r="C8" s="88"/>
      <x:c r="D8" s="97" t="str">
        <x:v>Production build</x:v>
      </x:c>
      <x:c r="E8" s="98" t="str">
        <x:v>Passed</x:v>
      </x:c>
      <x:c r="F8" s="99" t="str">
        <x:v>Review-fix build passed; max JS 128 KB</x:v>
      </x:c>
      <x:c r="G8" s="97" t="str">
        <x:v>Next functionality</x:v>
      </x:c>
      <x:c r="H8" s="98" t="str">
        <x:v>Production access/providers and independent launch acceptance</x:v>
      </x:c>
      <x:c r="I8" s="98"/>
      <x:c r="J8" s="99"/>
    </x:row>
    <x:row r="9" ht="26.399999618530273" hidden="0" customHeight="1">
      <x:c r="A9" s="95" t="str">
        <x:v>Requires correction</x:v>
      </x:c>
      <x:c r="B9" s="96" t="n">
        <x:f>COUNTIF('Feature Tracker'!$F$5:$F$215,"Requires Correction")</x:f>
        <x:v>0</x:v>
      </x:c>
      <x:c r="C9" s="88"/>
      <x:c r="D9" s="97" t="str">
        <x:v>Database acceptance</x:v>
      </x:c>
      <x:c r="E9" s="98" t="str">
        <x:v>Local passed</x:v>
      </x:c>
      <x:c r="F9" s="99" t="str">
        <x:v>19 isolated DB cases passed; live acceptance open</x:v>
      </x:c>
      <x:c r="G9" s="97" t="str">
        <x:v>Browser QA</x:v>
      </x:c>
      <x:c r="H9" s="98" t="str">
        <x:v>Head 73c1974 CI 59 green; new local fixes: 19 DB, 101 routes, 8 admin race, 6 vehicle, 2 reports; new CI pending</x:v>
      </x:c>
      <x:c r="I9" s="98"/>
      <x:c r="J9" s="99"/>
    </x:row>
    <x:row r="10" ht="39.599998474121094" hidden="0" customHeight="1">
      <x:c r="A10" s="95" t="str">
        <x:v>Pending</x:v>
      </x:c>
      <x:c r="B10" s="96" t="n">
        <x:f>COUNTIF('Feature Tracker'!$F$5:$F$215,"Pending")</x:f>
        <x:v>7</x:v>
      </x:c>
      <x:c r="C10" s="88"/>
      <x:c r="D10" s="97" t="str">
        <x:v>Responsive/branding</x:v>
      </x:c>
      <x:c r="E10" s="98" t="str">
        <x:v>Partial pass</x:v>
      </x:c>
      <x:c r="F10" s="99" t="str">
        <x:v>Owner homepage review + automated axe/viewport; manual review open</x:v>
      </x:c>
      <x:c r="G10" s="97" t="str">
        <x:v>Google Maps</x:v>
      </x:c>
      <x:c r="H10" s="98" t="str">
        <x:v>Code configured; live test blocked by billing</x:v>
      </x:c>
      <x:c r="I10" s="98"/>
      <x:c r="J10" s="99"/>
    </x:row>
    <x:row r="11" ht="26.399999618530273" hidden="0" customHeight="1">
      <x:c r="A11" s="100" t="str">
        <x:v>Overall completion</x:v>
      </x:c>
      <x:c r="B11" s="142" t="n">
        <x:f>SUMIFS('Feature Tracker'!$G$5:$G$215,'Feature Tracker'!$E$5:$E$215,"&lt;&gt;Excluded / Change Request",'Feature Tracker'!$F$5:$F$215,"&lt;&gt;Out of Scope / Removed")/B5</x:f>
        <x:v>0.9415075376884421</x:v>
      </x:c>
      <x:c r="C11" s="88"/>
      <x:c r="D11" s="102" t="str">
        <x:v>Security/load</x:v>
      </x:c>
      <x:c r="E11" s="103" t="str">
        <x:v>Partial pass</x:v>
      </x:c>
      <x:c r="F11" s="104" t="str">
        <x:v>Two P2 fixes locally verified; independent re-review pending</x:v>
      </x:c>
      <x:c r="G11" s="102" t="str">
        <x:v>Final QA blocker</x:v>
      </x:c>
      <x:c r="H11" s="103" t="str">
        <x:v>Updated PR review, providers, load and final acceptance</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157</x:v>
      </x:c>
      <x:c r="C15" s="107" t="str">
        <x:v>Implemented and available in current code; does not mean production launch approval</x:v>
      </x:c>
      <x:c r="D15" s="88"/>
      <x:c r="E15" s="88"/>
      <x:c r="F15" s="88"/>
      <x:c r="G15" s="88"/>
      <x:c r="H15" s="88"/>
      <x:c r="I15" s="88"/>
      <x:c r="J15" s="88"/>
    </x:row>
    <x:row r="16">
      <x:c r="A16" s="108" t="str">
        <x:v>Branch review</x:v>
      </x:c>
      <x:c r="B16" s="109" t="n">
        <x:f>COUNTIF('Feature Tracker'!$F$5:$F$215,"Complete on Feature Branch - Awaiting Review")</x:f>
        <x:v>1</x:v>
      </x:c>
      <x:c r="C16" s="110" t="str">
        <x:v>Implementation verified on feature branch; PR review/merge outstanding</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34</x:v>
      </x:c>
      <x:c r="C17" s="110" t="str">
        <x:v>Partly implemented or awaiting configuration/acceptance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7</x:v>
      </x:c>
      <x:c r="C19" s="110" t="str">
        <x:v>No implemented delivery for this feature; see row-specific prerequisites</x:v>
      </x:c>
      <x:c r="D19" s="88"/>
      <x:c r="E19" s="88"/>
      <x:c r="F19" s="88"/>
      <x:c r="G19" s="88"/>
      <x:c r="H19" s="88"/>
      <x:c r="I19" s="88"/>
      <x:c r="J19" s="88"/>
    </x:row>
    <x:row r="20">
      <x:c r="A20" s="94" t="str">
        <x:v>Excluded</x:v>
      </x:c>
      <x:c r="B20" s="111" t="n">
        <x:f>COUNTIF('Feature Tracker'!$F$5:$F$215,"Out of Scope / Removed")</x:f>
        <x:v>12</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8 October: nine independent-review defects and ban-policy risk repaired. Next.js 15.5.27 production audit clean. CI 56 green: 18 DB tests, 101 URLs, 127 browser passes plus one retry-pass and one planned skip. Accessibility fixture race repaired. Latest exact-head CI, independent re-review and deployment gates remain authoritative.</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Application work completed where access permits. Owner steps and handoff are in docs/OWNER_LAUNCH_ACTIONS.md: hosting/DB/DNS, Cloudflare/Resend, enabled Google configuration, backups/ledger/monitoring, independent PR review and protected main, actual devices and representative 500-user staging load. A/B1 remain approved.</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Complete remaining negative/failure cases and live provider/real-device journeys using the regression checklist. Core local browser suite already passes.</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4719b27bccec4c1f"/>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code/CI complete on feature branch; external deployment team owns hosting, provider, DNS and live acceptance per docs/DEPLOYMENT_HANDOFF.md</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8 October second fresh review of 73c1974: admin approve/reinstate versus closure P2 deadlock and malformed variant-ID P3 confirmed. Moderation and report auto-hide now lock owner before listing and recheck locked state. Car/bike create/edit reject malformed or out-of-range variant IDs while preserving deliberate empty-ID fallback. Local check/lint/build, 19 DB tests, 101-route sweep, 8 deterministic admin/closure, 6 vehicle and 2 report browser cases pass. New exact-head CI and independent re-review pending; live provider/deployment/device gates remain open.</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Review Status, Completion estimate, Evidence, Next Action and Owner after every verified package. Estimates reflect feature acceptance, not commit/test counts or elapsed effort. Dashboard uses an equal-weight average excluding removed scope.</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Maintain the repository master at docs/JaniWheels_Complete_Feature_Development_Tracker.xlsx. Older exported/Library copies may be stale; no automatic Library synchronization is claimed.</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8 October 2026: second fresh PR #6 review of 73c1974 found admin/closure P2 and malformed-ID P3. Owner-before-listing moderation and strict car/bike variant parsing pass local gates: 19 DB, 101 routes, 8 deterministic admin races, 6 vehicle and 2 report browser cases. New exact-head CI and independent re-review pending. Live deployment/provider/device gates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Completed</x:v>
      </x:c>
      <x:c r="G10" s="137" t="n">
        <x:v>1</x:v>
      </x:c>
      <x:c r="H10" s="136" t="str">
        <x:v>High</x:v>
      </x:c>
      <x:c r="I10" s="136" t="str">
        <x:v>Stage 0</x:v>
      </x:c>
      <x:c r="J10" s="136" t="str">
        <x:v>Backend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Runtime startup validation and stricter launch CLI implemented and tested. Checks origins, PostgreSQL URL, non-placeholder secret, provider alignment, private-media variables, OAuth pairs and unsafe upload paths without printing values. Removed unused Typesense settings. Current local config passes; launch check correctly reports missing HTTPS/live email/durable media and cron-secret requirements.</x:v>
      </x:c>
      <x:c r="O10" s="136" t="str">
        <x:v>Run npm run check:deployment with the selected deployment configuration; live services remain separately tracked.</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DevOps</x:v>
      </x:c>
      <x:c r="K12" s="136" t="str">
        <x:v>GitHub Actions</x:v>
      </x:c>
      <x:c r="L12" s="136" t="str">
        <x:v>Every PR is blocked when any required check fails.</x:v>
      </x:c>
      <x:c r="M12" s="136" t="str">
        <x:v>Deliberately failing test; protected-branch verification</x:v>
      </x:c>
      <x:c r="N12" s="136" t="str">
        <x:v>8 Oct: review fixes 7c9a1e1 and Next.js 15.5.27 patch df422a7 pushed. CI run 56 passed: audit, 18 DB cases, checks/lint/build, 101 URLs and browser suite (127 pass, 1 retry-pass, 1 planned skip). Accessibility fixture race repaired; latest exact-head CI and independent re-review required.</x:v>
      </x:c>
      <x:c r="O12" s="136" t="str">
        <x:v>Require green updated-head CI, independent re-review and branch protection before main merge; persistent staging remains.</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Fresh isolated acceptance checks 101 URLs with zero issues. Final media rebuild follow-up checked 103 URLs with zero issues. GitHub run 37 passed on a96704b.</x:v>
      </x:c>
      <x:c r="O15" s="136" t="str">
        <x:v>Keep the sweep in CI and add routes as functionality grows.</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Completed</x:v>
      </x:c>
      <x:c r="G16" s="137" t="n">
        <x:v>1</x:v>
      </x:c>
      <x:c r="H16" s="136" t="str">
        <x:v>Critical</x:v>
      </x:c>
      <x:c r="I16" s="136" t="str">
        <x:v>Stage 1</x:v>
      </x:c>
      <x:c r="J16" s="136" t="str">
        <x:v>QA</x:v>
      </x:c>
      <x:c r="K16" s="136" t="str">
        <x:v>Test runner and isolated DB</x:v>
      </x:c>
      <x:c r="L16" s="136" t="str">
        <x:v>Critical actions are tested for success, validation, authorization and rollback.</x:v>
      </x:c>
      <x:c r="M16" s="136" t="str">
        <x:v>Unit; integration; transaction tests</x:v>
      </x:c>
      <x:c r="N16" s="136" t="str">
        <x:v>8 Oct: 18 isolated DB regressions cover publication quota races, curated taxonomy/area ownership, restore moderation/alert suppression, safe logging and banned-owner alerts.</x:v>
      </x:c>
      <x:c r="O16" s="136" t="str">
        <x:v>Maintain regression coverage as product/provider changes occur; no framework implementation gap remains.</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Complete on Feature Branch - Awaiting Review</x:v>
      </x:c>
      <x:c r="G17" s="137" t="n">
        <x:v>1</x:v>
      </x:c>
      <x:c r="H17" s="136" t="str">
        <x:v>Critical</x:v>
      </x:c>
      <x:c r="I17" s="136" t="str">
        <x:v>Stage 1</x:v>
      </x:c>
      <x:c r="J17" s="136" t="str">
        <x:v>QA</x:v>
      </x:c>
      <x:c r="K17" s="136" t="str">
        <x:v>Stable staging/test DB</x:v>
      </x:c>
      <x:c r="L17" s="136" t="str">
        <x:v>Core journeys pass in Chromium at desktop and mobile viewports.</x:v>
      </x:c>
      <x:c r="M17" s="136" t="str">
        <x:v>E2E happy path; negative path; accessibility</x:v>
      </x:c>
      <x:c r="N17" s="136" t="str">
        <x:v>8 Oct: browser regressions added for seller-delete backup replay, quota reactivation, authenticated redirect, banned detail/media/contact and closed verified-dealer homepage. Final coverage in PR6_REVIEW_RESPONSE.md.</x:v>
      </x:c>
      <x:c r="O17" s="136" t="str">
        <x:v>Maintainer review/merge decision and required repository checks; live acceptance remains tracked separately.</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earlier package, route and browser checks passed. 8 Oct 2026: patched source-map-js to 1.2.2 for GHSA-68fv-2mgg-jv7q. Production npm audit reports zero vulnerabilities; local lint and build pass. GitHub PR #6 quality and acceptance CI passed.</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8 Oct review #3: verified homepage dealers require an open, unbanned owner. Close/restore/ban browser regression checks homepage, storefront and directory; counts use public inventory eligibility.</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0.95</x:v>
      </x:c>
      <x:c r="H39" s="136" t="str">
        <x:v>High</x:v>
      </x:c>
      <x:c r="I39" s="136" t="str">
        <x:v>Stage 0</x:v>
      </x:c>
      <x:c r="J39" s="136" t="str">
        <x:v>QA</x:v>
      </x:c>
      <x:c r="K39" s="136" t="str">
        <x:v>Local branch preview</x:v>
      </x:c>
      <x:c r="L39" s="136" t="str">
        <x:v>No clipping, overflow, overlap or unusable tap targets at agreed viewports.</x:v>
      </x:c>
      <x:c r="M39" s="136" t="str">
        <x:v>1440, 1024, 768, 414, 390, 360 px</x:v>
      </x:c>
      <x:c r="N39" s="136" t="str">
        <x:v>Desktop/mobile dealer checks and tablet 1024x768 checks pass across home, cars, bikes, parts, dealers and login at 200% text size. Fixed header/footer overflow. Reduced-motion hero/sell visuals are static. Owner-approved homepage remains in place.</x:v>
      </x:c>
      <x:c r="O39" s="136" t="str">
        <x:v>Real-device, camera/file picker, screen-reader and slow-network HTTPS acceptance remain parked for launch.</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Password login has timing protection and PostgreSQL rate limits. Desktop/mobile tests cover valid, invalid, banned and unverified accounts, retry limits and password-reset session revocation.</x:v>
      </x:c>
      <x:c r="O41" s="136" t="str">
        <x:v>Retain CI regression; verify production cookie/origin/provider configuration at launch.</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8 Oct review #8: seven auth paths share bounded same-origin return-path validation. Backslash, encoded slash/control and foreign targets reject to /. Authenticated HTTP and helper regressions cover valid local paths.</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Local/CI auth limiter and next-window recovery checks pass. Google auth initiation no longer prefetches; unavailable redirect uses configured site origin. Live Google provider, proxy thresholds and alerts remain.</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0.95</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Configured scheme/host/port Origin checks reject foreign, opaque, path/userinfo and spoofed-Host origins; cross-site Fetch Metadata rejected. Browser direct seller action cross-origin replay rejected. Next server-action protection and upload route guard retained.</x:v>
      </x:c>
      <x:c r="O50" s="136" t="str">
        <x:v>Verify trusted proxy/public origin configuration and cross-origin rejection on HTTPS staging.</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8 Oct risk #10: banned inventory excluded from public search/detail/media/contact, saved/recent ads, sitemap, linked inspection and alerts. Unban exposes only still-active ads. Distinct seller/buyer alert regression passes.</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Administrator routes/actions check role. Direct hide/remove/ban HTTP replay rejects seller and anonymous actors without DB/audit changes; identical administrator payload succeeds. CI run 37 passed.</x:v>
      </x:c>
      <x:c r="O52" s="136" t="str">
        <x:v>Extend dealer/service direct-action authorization under JW-166; retain existing administrator regressions.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0.9</x:v>
      </x:c>
      <x:c r="H53" s="136" t="str">
        <x:v>Critical</x:v>
      </x:c>
      <x:c r="I53" s="136" t="str">
        <x:v>Stage 6</x:v>
      </x:c>
      <x:c r="J53" s="136" t="str">
        <x:v>DevOps</x:v>
      </x:c>
      <x:c r="K53" s="136" t="str">
        <x:v>Production DB access</x:v>
      </x:c>
      <x:c r="L53" s="136" t="str">
        <x:v>Named administrator is created through a documented auditable process and no default password is committed.</x:v>
      </x:c>
      <x:c r="M53" s="136" t="str">
        <x:v>Access test; audit review</x:v>
      </x:c>
      <x:c r="N53" s="136" t="str">
        <x:v>Preview-first operator CLI and docs/ADMIN_BOOTSTRAP.md implemented. Explicit database-name confirmation, verified/unbanned unique account checks, no second-admin bootstrap, serialized concurrent attempts, atomic audit and session revocation, rollback and idempotency pass in isolated migrated-table tests. No production account was changed.</x:v>
      </x:c>
      <x:c r="O53" s="136" t="str">
        <x:v>At deployment, select the named verified owner, preview/apply on the intended production DB, reauthenticate and record operator/access review.</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Excluded / Change Request</x:v>
      </x:c>
      <x:c r="F57" s="136" t="str">
        <x:v>Out of Scope / Removed</x:v>
      </x:c>
      <x:c r="G57" s="137" t="n">
        <x:v>0</x:v>
      </x:c>
      <x:c r="H57" s="136" t="str">
        <x:v>High</x:v>
      </x:c>
      <x:c r="I57" s="136" t="str">
        <x:v>Stage 4</x:v>
      </x:c>
      <x:c r="J57" s="136" t="str">
        <x:v>Product Owner</x:v>
      </x:c>
      <x:c r="K57" s="136" t="str">
        <x:v>Verification fields and admin UI</x:v>
      </x:c>
      <x:c r="L57" s="136" t="str">
        <x:v>Only authorized admins grant/revoke verification and actions are logged.</x:v>
      </x:c>
      <x:c r="M57" s="136" t="str">
        <x:v>Grant/revoke; badge accuracy; audit log</x:v>
      </x:c>
      <x:c r="N57" s="136" t="str">
        <x:v>Owner approved B1 on 4 October 2026: no ordinary-seller Verified Seller badge in V1. Removed by explicit owner decision, not implemented. Email/phone/vehicle ownership claims must not be inferred. Audited manual dealer verification remains separately implemented.</x:v>
      </x:c>
      <x:c r="O57" s="136" t="str">
        <x:v>No V1 implementation required. Any future individual-seller badge requires a new approved verification process and scope decision.</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8 Oct review #6: car/bike publication validates active curated make/model/variant and matching vertical. Forged, invalid or inactive supplied variants cannot fall back to custom text. DB rollback and valid publication tested.</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8 Oct review #5: all vertical creation, reactivation and rejected-ad resubmission serialize on the owner row and check 3 live ads in the transaction. Concurrent publication permits only one final slot; real dealer profile exemption tested.</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Second fresh review: car/bike create/edit now reject malformed and &gt;2147483647 variant IDs with field errors; deliberate empty custom fallback remains. Approve/reinstate and report auto-hide lock seller before listing and recheck status. Desktop/mobile admin/closure 8/8, vehicle 6/6 and report auto-hide 2/2; 19 DB cases pass.</x:v>
      </x:c>
      <x:c r="O75" s="136" t="str">
        <x:v>New exact-head CI and independent re-review pending; local WebKit, live providers, real devices and production acceptance remain open.</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8 Oct review #1: seller deletion writes a seller-delete ledger receipt atomically. Backup replay hides the ad idempotently; retained photos stay private with admin evidence access. Retention expiry/holds remain authoritative.</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0.95</x:v>
      </x:c>
      <x:c r="H79" s="136" t="str">
        <x:v>High</x:v>
      </x:c>
      <x:c r="I79" s="136" t="str">
        <x:v>Stage 6</x:v>
      </x:c>
      <x:c r="J79" s="136" t="str">
        <x:v>Backend</x:v>
      </x:c>
      <x:c r="K79" s="136" t="str">
        <x:v>External cron scheduler</x:v>
      </x:c>
      <x:c r="L79" s="136" t="str">
        <x:v>Expired listings stop appearing as active and seller can understand/reactivate per policy.</x:v>
      </x:c>
      <x:c r="M79" s="136" t="str">
        <x:v>TTL boundary; cron auth; search/detail behavior</x:v>
      </x:c>
      <x:c r="N79" s="136" t="str">
        <x:v>Expiry/reactivation local acceptance passes in desktop/mobile: unauthenticated cron denied, due active fixture expires, future fixture remains active, foreign/anonymous reactivation denied, owner receives a fresh 30-day window, and active/rejected/removed requests do not extend it.</x:v>
      </x:c>
      <x:c r="O79" s="136" t="str">
        <x:v>Configure and monitor production expiry scheduling; run full live search/contact/SEO lifecycle acceptance.</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API enforces per-file/count/content-length bounds and hourly user file/byte quotas; listing schema rejects excessive/duplicate keys. Browser request-bucket denial passes.</x:v>
      </x:c>
      <x:c r="O83" s="136" t="str">
        <x:v>Complete exact size/count and aggregate byte boundary tests in T-016; retain the implemented aggregate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Real DB transaction tests reject foreign, duplicate and reused keys. Desktop/mobile publish/edit HTTP replay with foreign photo keys is denied without listing/photo changes; valid owner controls succeed on a96704b.</x:v>
      </x:c>
      <x:c r="O84" s="136" t="str">
        <x:v>Retain passing ownership regressions; finish provider-specific private delivery under JW-083.</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a96704b stores local media in absolute private .uploads; public/ storage is rejected. Existing development files were moved, legacy JPEG fixture decoding preserved, and local GET/HEAD ownership/status checks pass on desktop/mobile. No-store direct previews bypass the optimizer.</x:v>
      </x:c>
      <x:c r="O86" s="136" t="str">
        <x:v>Keep local provider development-only; follow migration guidance in docs/QUALITY.md.</x:v>
      </x:c>
    </x:row>
    <x:row r="87">
      <x:c r="A87" s="135" t="str">
        <x:v>JW-083</x:v>
      </x:c>
      <x:c r="B87" s="135" t="str">
        <x:v>Media &amp; Images</x:v>
      </x:c>
      <x:c r="C87" s="135" t="str">
        <x:v>Cloudflare Images provider</x:v>
      </x:c>
      <x:c r="D87" s="136" t="str">
        <x:v>Production upload and delivery integration</x:v>
      </x:c>
      <x:c r="E87" s="136" t="str">
        <x:v>Signed V1</x:v>
      </x:c>
      <x:c r="F87" s="136" t="str">
        <x:v>Launch Configuration Pending</x:v>
      </x:c>
      <x:c r="G87" s="137" t="n">
        <x:v>0.9</x:v>
      </x:c>
      <x:c r="H87" s="136" t="str">
        <x:v>Critical</x:v>
      </x:c>
      <x:c r="I87" s="136" t="str">
        <x:v>Stage 6</x:v>
      </x:c>
      <x:c r="J87" s="136" t="str">
        <x:v>Backend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Private Cloudflare UUID uploads, response privacy verification, server-only 60-second signing and authorized no-store proxy delivery implemented. Mock provider covers upload/signing/read/delete/configuration and upstream failure. Local shared visibility browser cases pass. docs/PRIVATE_MEDIA.md records old custom-ID migration and variant restrictions. Cloudflare credentials are absent locally.</x:v>
      </x:c>
      <x:c r="O87" s="136" t="str">
        <x:v>Provide/configure Cloudflare account, token, signing key, hash and private variant; migrate any old public custom IDs and run live upload/read/delete/access acceptance.</x:v>
      </x:c>
    </x:row>
    <x:row r="88">
      <x:c r="A88" s="135" t="str">
        <x:v>JW-084</x:v>
      </x:c>
      <x:c r="B88" s="135" t="str">
        <x:v>Media &amp; Images</x:v>
      </x:c>
      <x:c r="C88" s="135" t="str">
        <x:v>S3-compatible provider</x:v>
      </x:c>
      <x:c r="D88" s="136" t="str">
        <x:v>R2/S3 storage option advertised in environment documentation</x:v>
      </x:c>
      <x:c r="E88" s="136" t="str">
        <x:v>Excluded / Change Request</x:v>
      </x:c>
      <x:c r="F88" s="136" t="str">
        <x:v>Out of Scope / Removed</x:v>
      </x:c>
      <x:c r="G88" s="137" t="n">
        <x:v>0</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S3/R2 option was removed from the environment template and unsupported providers fail explicitly. This excluded alternative contributes neither numerator nor denominator to overall completion.</x:v>
      </x:c>
      <x:c r="O88" s="136" t="str">
        <x:v>No V1 S3 implementation. Cloudflare provider work remains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0.8</x:v>
      </x:c>
      <x:c r="H89" s="136" t="str">
        <x:v>High</x:v>
      </x:c>
      <x:c r="I89" s="136" t="str">
        <x:v>Stage 6</x:v>
      </x:c>
      <x:c r="J89" s="136" t="str">
        <x:v>QA</x:v>
      </x:c>
      <x:c r="K89" s="136" t="str">
        <x:v>Production image provider</x:v>
      </x:c>
      <x:c r="L89" s="136" t="str">
        <x:v>Correct variants load with modern formats, dimensions and acceptable visual quality.</x:v>
      </x:c>
      <x:c r="M89" s="136" t="str">
        <x:v>LCP; mobile bandwidth; broken URLs; alt text</x:v>
      </x:c>
      <x:c r="N89" s="136" t="str">
        <x:v>Both providers deliver bounded WebP through the authorization endpoint; static assets retain Next optimization. Public provider/optimizer bypasses are removed. Cloudflare private variant and application bandwidth/processing need live measurement; no production media-performance claim.</x:v>
      </x:c>
      <x:c r="O89" s="136" t="str">
        <x:v>Measure real image dimensions, transfer size, LCP and proxy capacity on HTTPS staging; configure bounded private variants.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0.97</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Existing real DB failure/recovery acceptance retained; delayed seller action shows pending state and disables repeat clicks in desktop/mobile. Explicit exhausted write-limit notice displayed.</x:v>
      </x:c>
      <x:c r="O111" s="136" t="str">
        <x:v>Real slow-network/device and live provider-outage acceptance remain.</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0.95</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Pagination now precedes browse enrichment; indexed correlated primary photo replaces full-image aggregate. Rollback-only 20,000-ad full-query benchmark covers car/bike/part first and offset-5000 pages; first-page 127-152 ms to 1.4-2.4 ms, deep pages 141-221 ms to 34-44 ms locally. DB compares six sorts/two pages/all verticals including NULL/ties and duplicate-position photo. See LOCAL_QUERY_PLAN_REPORT.md.</x:v>
      </x:c>
      <x:c r="O112" s="136" t="str">
        <x:v>Repeat concurrent full-query benchmark on representative HTTPS staging host/data; local query measurements are not 500-user capacity acceptance.</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8 Oct: contact action rejects inactive/deleted ads and banned/closed/anonymized owners. Browser regression replays a previously captured reveal after ban and checks no phone disclosure.</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8 Oct review #9: handled lead errors log fixed event plus safe SQLSTATE only, never raw query/message/parameters. Source bounded to known values; private marker logging regression passes.</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Desktop/mobile car-linked inspection acceptance preserves listing reference across sign-in and stores the request/event; forged or unavailable IDs fail without creating a request.</x:v>
      </x:c>
      <x:c r="O121" s="136" t="str">
        <x:v>Retain passing linked-request tests; complete remaining service action negatives under JW-166.</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Product Owner</x:v>
      </x:c>
      <x:c r="K122" s="136" t="str">
        <x:v>Database</x:v>
      </x:c>
      <x:c r="L122" s="136" t="str">
        <x:v>Human views are counted consistently without blocking response or inflating from owner/bots beyond approved rules.</x:v>
      </x:c>
      <x:c r="M122" s="136" t="str">
        <x:v>Repeated/bot/owner; DB failure; concurrency</x:v>
      </x:c>
      <x:c r="N122" s="136" t="str">
        <x:v>Raw view counter remains a render counter including repeats/crawlers. docs/OPERATIONS.md explicitly excludes it from unique-visitor and conversion-rate claims.</x:v>
      </x:c>
      <x:c r="O122" s="136" t="str">
        <x:v>Define whether V1 needs unique human views and its privacy/identity policy before changing counting semantics.</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Launch Configuration Pending</x:v>
      </x:c>
      <x:c r="G133" s="137" t="n">
        <x:v>0.9</x:v>
      </x:c>
      <x:c r="H133" s="136" t="str">
        <x:v>High</x:v>
      </x:c>
      <x:c r="I133" s="136" t="str">
        <x:v>Stage 3</x:v>
      </x:c>
      <x:c r="J133" s="136" t="str">
        <x:v>Backend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8 Oct review #4/risk #10: closure replay suppresses old undelivered alerts before preference restore. Banned listing owners cannot match or deliver to another buyer. DB regressions pass; live mail/scheduling remain.</x:v>
      </x:c>
      <x:c r="O133" s="136" t="str">
        <x:v>Configure verified Resend sender and credentials, schedule queue/delivery, review initial backlog and complete controlled mailbox, outage and deliverability acceptance.</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Dealer registration and owner settings/logo are implemented. Desktop/mobile acceptance creates a dealer/dashboard and verifies account/dealer write limits. Duplicate-slug edge acceptance remains in T-031.</x:v>
      </x:c>
      <x:c r="O134" s="136" t="str">
        <x:v>Complete remaining registration edge cases and live provider acceptance.</x:v>
      </x:c>
    </x:row>
    <x:row r="135">
      <x:c r="A135" s="135" t="str">
        <x:v>JW-131</x:v>
      </x:c>
      <x:c r="B135" s="135" t="str">
        <x:v>Dealer Features</x:v>
      </x:c>
      <x:c r="C135" s="135" t="str">
        <x:v>Dealer public directory</x:v>
      </x:c>
      <x:c r="D135" s="136" t="str">
        <x:v>Group dealers by city with live inventory counts</x:v>
      </x:c>
      <x:c r="E135" s="136" t="str">
        <x:v>Signed V1</x:v>
      </x:c>
      <x:c r="F135" s="136" t="str">
        <x:v>Completed</x:v>
      </x:c>
      <x:c r="G135" s="137" t="n">
        <x:v>1</x:v>
      </x:c>
      <x:c r="H135" s="136" t="str">
        <x:v>High</x:v>
      </x:c>
      <x:c r="I135" s="136" t="str">
        <x:v>Stage 4</x:v>
      </x:c>
      <x:c r="J135" s="136" t="str">
        <x:v>QA</x:v>
      </x:c>
      <x:c r="K135" s="136" t="str">
        <x:v>Dealer data</x:v>
      </x:c>
      <x:c r="L135" s="136" t="str">
        <x:v>Page labeling matches whether it lists all or only verified dealers and counts are accurate.</x:v>
      </x:c>
      <x:c r="M135" s="136" t="str">
        <x:v>Verified/unverified; zero listings; pagination</x:v>
      </x:c>
      <x:c r="N135" s="136" t="str">
        <x:v>Desktop/mobile deterministic inventory acceptance passes: 26 active ads, 25+1 disjoint pages, total count independent of page size, stable ordering, invalid page fallback, inactive inventory denial and banned dealer exclusion. Fixed missing storefront pagination and truncated total.</x:v>
      </x:c>
      <x:c r="O135" s="136" t="str">
        <x:v>Include dealer inventory in routine release regression; live/device acceptance remains in launch QA.</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Storefront queries active listings across verticals and passes row.vertical to ListingCard, supporting cars, bikes and parts. Public route/accessibility checks pass; deterministic count and pagination acceptance remains in T-032.</x:v>
      </x:c>
      <x:c r="O136" s="136" t="str">
        <x:v>Verify mixed-vertical inventory/counts and pagination in T-032; no bike/parts extension is required.</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8 Oct risk #10: manual bans preserve inventory but hide public ads/media/contact and alert matches. Existing session revocation/audit rules retained. Unban cannot revive removed ads.</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0.9</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docs/DEPLOYMENT.md now explicitly requires a reachable migrated isolated CI or staging/build database; clean migrations, seeds and production build pass. Demo seeds are forbidden against production. Sitemap remains dynamic.</x:v>
      </x:c>
      <x:c r="O165" s="136" t="str">
        <x:v>Configure the selected build/staging database and verify deployment-network access and sitemap origin.</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0.95</x:v>
      </x:c>
      <x:c r="H168" s="136" t="str">
        <x:v>High</x:v>
      </x:c>
      <x:c r="I168" s="136" t="str">
        <x:v>Stage 6</x:v>
      </x:c>
      <x:c r="J168" s="136" t="str">
        <x:v>QA</x:v>
      </x:c>
      <x:c r="K168" s="136" t="str">
        <x:v>Status lifecycle</x:v>
      </x:c>
      <x:c r="L168" s="136" t="str">
        <x:v>Sold pages follow approved retention policy; private/removed pages are not publicly exposed.</x:v>
      </x:c>
      <x:c r="M168" s="136" t="str">
        <x:v>All statuses; canonical; sitemap/search exclusion</x:v>
      </x:c>
      <x:c r="N168" s="136" t="str">
        <x:v>Desktop/mobile seller acceptance checks sold ad anonymous detail 404, exclusion from recent search and sitemap, seller deletion preserving approved private photos, owner photo denial/admin positive control, and stale sold action unable to resurrect removed ad.</x:v>
      </x:c>
      <x:c r="O168" s="136" t="str">
        <x:v>Verify expiry/sold/deleted lifecycle and live provider visibility on staging with configured scheduling.</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0.98</x:v>
      </x:c>
      <x:c r="H170" s="136" t="str">
        <x:v>Critical</x:v>
      </x:c>
      <x:c r="I170" s="136" t="str">
        <x:v>Stage 1</x:v>
      </x:c>
      <x:c r="J170" s="136" t="str">
        <x:v>QA</x:v>
      </x:c>
      <x:c r="K170" s="136" t="str">
        <x:v>All CRUD actions</x:v>
      </x:c>
      <x:c r="L170" s="136" t="str">
        <x:v>Every mutation and private resource has explicit server-side authorization tests.</x:v>
      </x:c>
      <x:c r="M170" s="136" t="str">
        <x:v>IDOR; direct action calls; cross-user access</x:v>
      </x:c>
      <x:c r="N170" s="136" t="str">
        <x:v>New direct-action cases cover shared write limits, foreign Origin, invalid admin enums/IDs/reason length, triple concurrent identical removal with one audit, stale seller action, private deleted media and complaint-hold edit preserving fields/photos. Row locks and conditional status updates protect concurrent transitions; prior auth/provider/mock acceptance retained.</x:v>
      </x:c>
      <x:c r="O170" s="136" t="str">
        <x:v>Independent final PR security review and live provider/proxy/storage acceptance; actual devices remain separate.</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0.99</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Runtime moderation/listing/user/dealer decision checks added beyond TypeScript types. Direct browser action invalid enum/negative ID/oversize reason cases preserve DB state; complaint-hold edit returns clear error without changing evidence.</x:v>
      </x:c>
      <x:c r="O171" s="136" t="str">
        <x:v>Retain local negative regression; verify final live integrations/configuration before sign-off.</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0.99</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seller/admin write quotas cover edits, sold/delete/reactivation/resubmission, moderation, bans, dealer verification, manual services, retention holds and avatar/logo removal. Exhaustion preserves state/audit, next-window recovery DB check passes; quota notices displayed.</x:v>
      </x:c>
      <x:c r="O172" s="136" t="str">
        <x:v>Validate trusted proxy IP handling, production thresholds and operational alerts on staging.</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0.9</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Published privacy policy now states client-approved account recovery, 12/24-month retention, 90-day activity and 30-day backup policy, necessary holds and no inactivity-only account deletion. Closure/recovery linked in account settings and locally accepted on desktop/mobile. Final live provider disclosures/consent acceptance remains.</x:v>
      </x:c>
      <x:c r="O174" s="136" t="str">
        <x:v>Validate actual provider disclosures, legal/consent requirements and production privacy operation before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Partially Implemented</x:v>
      </x:c>
      <x:c r="G175" s="137" t="n">
        <x:v>0.95</x:v>
      </x:c>
      <x:c r="H175" s="136" t="str">
        <x:v>High</x:v>
      </x:c>
      <x:c r="I175" s="136" t="str">
        <x:v>Stage 6</x:v>
      </x:c>
      <x:c r="J175" s="136" t="str">
        <x:v>Product Owner / DevOps</x:v>
      </x:c>
      <x:c r="K175" s="136" t="str">
        <x:v>Privacy policy and operations</x:v>
      </x:c>
      <x:c r="L175" s="136" t="str">
        <x:v>Retention schedule and deletion workflows are documented and executable.</x:v>
      </x:c>
      <x:c r="M175" s="136" t="str">
        <x:v>Retention job; account deletion; backup implications</x:v>
      </x:c>
      <x:c r="N175" s="136" t="str">
        <x:v>8 Oct reviews #1/#2/#4: atomic seller-delete receipts, receipt-aware idempotent replay, later moderator rejection preserved, cancelled alerts suppressed. Approved A windows/holds unchanged. Production backup/restore drill remains.</x:v>
      </x:c>
      <x:c r="O175" s="136" t="str">
        <x:v>Independent review of repaired replay; deployment owner must export protected current ledger and rehearse restore before clearing maintenance.</x:v>
      </x:c>
    </x:row>
    <x:row r="176">
      <x:c r="A176" s="135" t="str">
        <x:v>JW-172</x:v>
      </x:c>
      <x:c r="B176" s="135" t="str">
        <x:v>Security &amp; Privacy</x:v>
      </x:c>
      <x:c r="C176" s="135" t="str">
        <x:v>Security review</x:v>
      </x:c>
      <x:c r="D176" s="136" t="str">
        <x:v>Pre-launch application and infrastructure assessment</x:v>
      </x:c>
      <x:c r="E176" s="136" t="str">
        <x:v>Signed V1</x:v>
      </x:c>
      <x:c r="F176" s="136" t="str">
        <x:v>Partially Implemented</x:v>
      </x:c>
      <x:c r="G176" s="137" t="n">
        <x:v>0.85</x:v>
      </x:c>
      <x:c r="H176" s="136" t="str">
        <x:v>Critical</x:v>
      </x:c>
      <x:c r="I176" s="136" t="str">
        <x:v>Stage 6</x:v>
      </x:c>
      <x:c r="J176" s="136" t="str">
        <x:v>QA</x:v>
      </x:c>
      <x:c r="K176" s="136" t="str">
        <x:v>Feature-complete staging</x:v>
      </x:c>
      <x:c r="L176" s="136" t="str">
        <x:v>No unresolved critical/high issue remains; remediation is regression-tested.</x:v>
      </x:c>
      <x:c r="M176" s="136" t="str">
        <x:v>OWASP review; dependency; auth; IDOR; upload; headers</x:v>
      </x:c>
      <x:c r="N176" s="136" t="str">
        <x:v>Local application review addressed stale state writes, moderation duplicate audit races, tampered runtime decisions, complaint-evidence edits, upload Origin spoofing, deleted-photo privacy and write-limit gaps. Targeted DB/browser evidence recorded; independent review and infrastructure/provider review still open.</x:v>
      </x:c>
      <x:c r="O176" s="136" t="str">
        <x:v>Independent PR review and staging provider/proxy/log/storage security assessment; close any high/critical launch finding.</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0.99</x:v>
      </x:c>
      <x:c r="H181" s="136" t="str">
        <x:v>Critical</x:v>
      </x:c>
      <x:c r="I181" s="136" t="str">
        <x:v>Stage 6</x:v>
      </x:c>
      <x:c r="J181" s="136" t="str">
        <x:v>QA</x:v>
      </x:c>
      <x:c r="K181" s="136" t="str">
        <x:v>E2E framework</x:v>
      </x:c>
      <x:c r="L181" s="136" t="str">
        <x:v>Critical launch journeys run automatically and pass.</x:v>
      </x:c>
      <x:c r="M181" s="136" t="str">
        <x:v>Happy/negative/authz/mobile</x:v>
      </x:c>
      <x:c r="N181" s="136" t="str">
        <x:v>Application 1e0a071 full CI run 49 passes: 120 browser passes, 1 planned skip, 13 isolated DB checks, check/lint/build and 101-route sweep. Run 48 Google-prefetch/redirect and WebKit-origin findings fixed; independent final review and live provider/device acceptance remain.</x:v>
      </x:c>
      <x:c r="O181" s="136" t="str">
        <x:v>Latest-head CI, independent review, live provider/staging/device acceptance remain.</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Full Linux CI run 49 passes mobile Chromium and WebKit navigation/photo upload. Windows local WebKit photo upload passes; navigation timed out waiting for stable Auto Parts tab while local suites ran concurrently. Actual iPhone Safari/Android Chrome HTTPS, camera, keyboard, slow-network and assistive acceptance remain required; no real-device sign-off claimed.</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0.95</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Existing 34-route axe coverage is supplemented by 200% text sizing at tablet width across six routes and reduced-motion checks. Header/footer overflow found and fixed; desktop/mobile projects pass.</x:v>
      </x:c>
      <x:c r="O183" s="136" t="str">
        <x:v>Manual screen-reader, real-device and browser zoom acceptance remain for launch.</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0.95</x:v>
      </x:c>
      <x:c r="H184" s="136" t="str">
        <x:v>High</x:v>
      </x:c>
      <x:c r="I184" s="136" t="str">
        <x:v>Stage 6</x:v>
      </x:c>
      <x:c r="J184" s="136" t="str">
        <x:v>QA</x:v>
      </x:c>
      <x:c r="K184" s="136" t="str">
        <x:v>Production-like media/data</x:v>
      </x:c>
      <x:c r="L184" s="136" t="str">
        <x:v>Public routes meet JS budget and agreed LCP/CLS/INP targets on mobile.</x:v>
      </x:c>
      <x:c r="M184" s="136" t="str">
        <x:v>Bundle report; Lighthouse; 4G profile</x:v>
      </x:c>
      <x:c r="N184" s="136" t="str">
        <x:v>Production build remains under the 150 KB JS budget (maximum 128 KB). Local 100-request concurrency-five smoke: zero failures, p50 253 ms, p95 517 ms, max 839 ms. 10,000-row query sample verifies the newest-first index. Reports clearly distinguish local samples from production acceptance.</x:v>
      </x:c>
      <x:c r="O184" s="136" t="str">
        <x:v>Measure real media/Web Vitals and representative staging capacity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Partially Implemented</x:v>
      </x:c>
      <x:c r="G185" s="137" t="n">
        <x:v>0.25</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Added repeatable loopback-only 100-request concurrency-five HTTP load smoke; zero failures. Synthetic 10,000-row query fixtures roll back. These are local baselines, not the required 500-user ramp/soak.</x:v>
      </x:c>
      <x:c r="O185" s="136" t="str">
        <x:v>Run representative 500-user ramp/soak with monitoring on the selected staging infrastructure.</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Candidate 1e0a071 passes full CI run 49, including Chromium/mobile/WebKit and recovery, 13 DB cases and 101-route sweep. Tracker links provider/device/staging gates to owner handoff; this does not substitute independent review or live acceptance.</x:v>
      </x:c>
      <x:c r="O186" s="136" t="str">
        <x:v>Fill the checklist and Test Matrix with candidate-specific staging, Safari/real-device, provider and infrastructure evidence; obtain PR reviewer sign-off before merge.</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Deployment assigned to an external team by the owner on 8 Oct 2026. docs/DEPLOYMENT_HANDOFF.md provides the reviewed-source, runtime, environment, migration, provider, DNS and acceptance package. No production deployment is documented as complete.</x:v>
      </x:c>
      <x:c r="O194" s="136" t="str">
        <x:v>External team: provision hosting and deploy reviewed main SHA; return URL, commit, smoke, rollback and monitoring evidence.</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DevOps</x:v>
      </x:c>
      <x:c r="K196" s="136" t="str">
        <x:v>Cloudflare or implemented provider</x:v>
      </x:c>
      <x:c r="L196" s="136" t="str">
        <x:v>Uploads survive deployments and load through correct public URLs.</x:v>
      </x:c>
      <x:c r="M196" s="136" t="str">
        <x:v>Upload/display/delete; cache; failure</x:v>
      </x:c>
      <x:c r="N196" s="136" t="str">
        <x:v>Private Cloudflare delivery code and mock-provider checks are implemented under JW-083. No account/token/signing key/hash/variant is configured locally; durable staging/production storage and old-object migration are unverified.</x:v>
      </x:c>
      <x:c r="O196" s="136" t="str">
        <x:v>Configure Cloudflare and verify private media lifecycle and persistence across deployment/restart.</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8 Oct 2026 DNS check: ns91.host.com.pk/ns92.host.com.pk; apex resolves to existing cPanel server 5.101.140.80. Owner confirms Coming Soon site and no old website/mailbox data needs migration. Production HTTPS application is not deployed or verified.</x:v>
      </x:c>
      <x:c r="O197" s="136" t="str">
        <x:v>External team: recheck active DNS at cutover, update apex/www to selected host and verify TLS, redirects and canonical URL.</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Partially Implemented</x:v>
      </x:c>
      <x:c r="G199" s="137" t="n">
        <x:v>0.75</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8 Oct review #9: shared safe handled-error logger used for lead, auth delivery, view count, upload/storage and cron failures. Marker regression confirms query/PII omission. External log sink/alerts require deployment setup.</x:v>
      </x:c>
      <x:c r="O199" s="136" t="str">
        <x:v>Configure hosted log retention/aggregation, monitoring recipients and end-to-end staging notifications.</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Partially Implemented</x:v>
      </x:c>
      <x:c r="G200" s="137" t="n">
        <x:v>0.4</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Added uncached/noindex /api/health readiness endpoint with DB check and generic 503 failures; success/failure redaction unit checks and desktop/mobile HTTP checks pass.</x:v>
      </x:c>
      <x:c r="O200" s="136" t="str">
        <x:v>Attach the selected external uptime monitor to HTTPS staging/production and verify notifications.</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0.95</x:v>
      </x:c>
      <x:c r="H202" s="136" t="str">
        <x:v>Medium</x:v>
      </x:c>
      <x:c r="I202" s="136" t="str">
        <x:v>Stage 6</x:v>
      </x:c>
      <x:c r="J202" s="136" t="str">
        <x:v>Product Owner / DevOps</x:v>
      </x:c>
      <x:c r="K202" s="136" t="str">
        <x:v>Analytics decision/privacy policy</x:v>
      </x:c>
      <x:c r="L202" s="136" t="str">
        <x:v>Page traffic and lead conversions are measurable without claiming advanced BI.</x:v>
      </x:c>
      <x:c r="M202" s="136" t="str">
        <x:v>Event accuracy; consent; duplicate events</x:v>
      </x:c>
      <x:c r="N202" s="136" t="str">
        <x:v>Read-only exact-database operator report supplies inventory, raw render/contact totals, anonymous retained monthly contacts, service/report status, email backlog and retention queues. DB redaction/read-only checks pass. Definitions explicitly distinguish renders from humans, contacts from sales and provider acceptance from delivery.</x:v>
      </x:c>
      <x:c r="O202" s="136" t="str">
        <x:v>Configure production operational reporting process. Recommendation: keep clearly labelled existing V1 counts; unique-human tracking needs a separate privacy/method decision if desired.</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8 Oct review #7: each car/bike/part publication validates area belongs to selected city before claiming photos. All three rollback regressions pass. Existing approximate-location privacy retained; live Google Maps billing/provider acceptance remains.</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7dc492b3f759408d"/>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Verified development is committed, pushed and recorded automatically under owner authorization. PR review and main merge remain separate. Local browser/DB acceptance runs alongside packages; live/real-device launch acceptance remains open.</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Saved-search management plus bounded overflow-safe matching and leased immutable email delivery, retries and eligibility controls implemented and DB-tested with mock sends; provider/scheduler/mailbox acceptance remain.</x:v>
      </x:c>
      <x:c r="F17" s="141" t="str">
        <x:v>Automated matching/overflow/deduplication and delivered-email acceptance pass with configured provider/scheduler.</x:v>
      </x:c>
      <x:c r="G17" s="141" t="str">
        <x:v>In Progress</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codex/launch-quality-system</x:v>
      </x:c>
      <x:c r="E23" s="141" t="str">
        <x:v>8 Oct: independent PR #6 findings repaired and regression coverage expanded. Verify updated-head check/lint/build, 18 DB cases, 101-route sweep and browser suite in PR6_REVIEW_RESPONSE.md. Independent re-review, protected main and persistent staging remain open.</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codex/production-readiness (planned)</x:v>
      </x:c>
      <x:c r="E24" s="141" t="str">
        <x:v>Approved A/B1 application work includes retention/replay/holds/private media queues, resilient alerts, runtime readiness/errors, action security, 20,000-ad paginated browse benchmark and aggregate operations reporting. Full CI run 49 passed on 1e0a071. Live hosting/DB/media/mail/backups/cron/monitoring, restore drill and final device/security/500-user staging acceptance require owner access; see OWNER_LAUNCH_ACTIONS.md.</x:v>
      </x:c>
      <x:c r="F24" s="141" t="str">
        <x:v>Formal launch checklist has no open critical/high issue.</x:v>
      </x:c>
      <x:c r="G24" s="141" t="str">
        <x:v>In Progress</x:v>
      </x:c>
    </x:row>
  </x:sheetData>
  <x:mergeCells>
    <x:mergeCell ref="A1:G1"/>
    <x:mergeCell ref="A2:G2"/>
  </x:mergeCells>
  <x:pageMargins left="0.7" right="0.7" top="0.75" bottom="0.75" header="0.3" footer="0.3"/>
  <x:tableParts count="1">
    <x:tablePart xmlns:r="http://schemas.openxmlformats.org/officeDocument/2006/relationships" r:id="R1fa9cae34876474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listing and media authorization, local image GET/HEAD and optimizer checks; owner edit preview is scrolled into view before lazy-image load assertion</x:v>
      </x:c>
      <x:c r="F10" s="141" t="str">
        <x:v>Local pass: private reads denied and active photos public; media authorization 2/2 after lazy-image fixture repair. Cloudflare private delivery remains pending.</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Car/bike malformed variant IDs with custom labels, overflow boundary, empty fallback and curated edit; deterministic admin approve/reinstate versus closure in both lock schedules; report auto-hide flow</x:v>
      </x:c>
      <x:c r="F16" s="141" t="str">
        <x:v>Local pass: 8/8 forced admin/closure, 6/6 vehicle edit/closure and 2/2 report auto-hide desktop/mobile cases; 19/19 DB, 101 routes, check/lint/build. No unexpected Flight error, partial audit or closed-owner public ad. New CI/re-review pending.</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Desktop/mobile seller deletion plus atomic ledger receipt, pre-delete backup replay repeated twice, retained evidence and anonymous/admin media authorization.</x:v>
      </x:c>
      <x:c r="F17" s="141" t="str">
        <x:v>Regression covers public detail/media denial after replay and retained private photos for approved retention/admin evidence access.</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Desktop/mobile expiry cron, due/future fixtures, direct reactivation replay and owner positive control</x:v>
      </x:c>
      <x:c r="F18" s="141" t="str">
        <x:v>Local pass: cron auth, expiry selection, owner-only fresh 30-day window and active/rejected/removed no-op checked; complete live search/contact/SEO lifecycle and scheduler remain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upload WebP, owner-only pending GET/HEAD, foreign-Origin 403 and request-bucket 429; source size/count/quota guards</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Automated check:uploads decodes/re-encodes valid images, rejects magic-byte-only fake and unsafe keys, preserves safe legacy conversion</x:v>
      </x:c>
      <x:c r="F21" s="141" t="str">
        <x:v>Partial pass: fake image/key rejection and WebP conversion verified; comprehensive oversized, SVG/executable/polyglot HTTP matrix remains</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Real database rollback and desktop/mobile captured publish/edit HTTP requests replayed with another user's unclaimed key, followed by valid-owner positive controls</x:v>
      </x:c>
      <x:c r="F22" s="141" t="str">
        <x:v>Local pass: foreign publish creates no listing or claim; foreign edit preserves listing images; original owner payload succeeds. Production/provider acceptance remains.</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Active buyer reveal/lead logging, inactive rejection and captured action replay after owner ban. Safe handled-error marker regression.</x:v>
      </x:c>
      <x:c r="F29" s="141" t="str">
        <x:v>Active reveal remains available; inactive/banned owners cannot disclose phone. Raw query/message/parameters excluded from handled error logs.</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Isolated DB overflow/dedupe/retry/concurrency, closure replay suppression and banned listing owner versus separate buyer. Local transport mocks; live provider/scheduler remain.</x:v>
      </x:c>
      <x:c r="F34" s="141" t="str">
        <x:v>Local DB delivery/matching acceptance passes, including cancelled alerts and banned inventory. Live email delivery/mailbox acceptance pending.</x:v>
      </x:c>
      <x:c r="G34" s="141" t="str">
        <x:v>Deployment owner configures live email provider/scheduler and mailbox acceptance.</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Desktop/mobile deterministic dealer fixture with 26 active and four inactive listings; pagination, counts, invalid page and banned owner checks</x:v>
      </x:c>
      <x:c r="F36" s="141" t="str">
        <x:v>Passed local: correct 26 total, disjoint 25+1 pages, inactive detail 404 and banned storefront/directory exclusion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Dealer/service authorization retained; direct admin decision tampering and three concurrent removal replays</x:v>
      </x:c>
      <x:c r="F37" s="141" t="str">
        <x:v>Local desktop/mobile negatives preserve state; authorized concurrent removal yields one audit; independent/live security acceptance remains</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creation/customer history plus direct administration replay by owner, foreign seller and anonymous visitor; admin positive control and unchanged DB/audit checks</x:v>
      </x:c>
      <x:c r="F39"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creation/customer history plus direct administration replay by owner, foreign seller and anonymous visitor; admin positive control and unchanged DB/audit checks</x:v>
      </x:c>
      <x:c r="F40"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Existing authorization/session/audit tests plus banned public detail GET, image GET/HEAD, contact replay, discovery/sitemap and unban without reviving removed inventory.</x:v>
      </x:c>
      <x:c r="F44" s="141" t="str">
        <x:v>Local regressions cover admin access and banned inventory visibility. Independent updated-head review and production acceptance remain.</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Owner-approved homepage merged in PR #5; PR #6 local acceptance</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Local authorization replay, upload/content/origin/rate-limit/private-read regressions and CI dependency audit</x:v>
      </x:c>
      <x:c r="F52" s="141" t="str">
        <x:v>Partial pass locally; formal infrastructure review, remaining action negatives and Cloudflare private delivery open</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Local bounded smoke and rollback-only query-plan fixtures implemented; 500-user staging ramp/soak not run</x:v>
      </x:c>
      <x:c r="F54" s="141" t="str">
        <x:v>Partial: 100 requests at concurrency five, zero failures; staging 500-user capacity remains open</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Clean isolated migrations/seeding, seven DB checks and current local production build</x:v>
      </x:c>
      <x:c r="F55" s="141" t="str">
        <x:v>Local migrations/seven DB acceptance tests pass; full GitHub run 43 on 0569081 passed fresh migration, seed and DB acceptance. Production database deployment and rollback rehearsal remain open.</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Local deletion replay and ID-reservation pass; production backup drill not run</x:v>
      </x:c>
      <x:c r="F56" s="141" t="str">
        <x:v>Pre-launch: configure actual 30-day backups, current ledger/hold recovery and production-like restore smoke</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Authenticated retention/media workers, lifecycle visibility, limiter exhaustion/recovery, stale sold replay and complaint-evidence edit guards</x:v>
      </x:c>
      <x:c r="F57" s="141" t="str">
        <x:v>Local DB/browser pass; production schedules/provider deletion/backups/ledger restore rehearsal remain</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978a9fe611e54bc5"/>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Google-first and verified-email authentication with secure email reset; SMS OTP remains excluded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11cf66df439b45aa"/>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