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407ada9d5d8479a" /></Relationships>
</file>

<file path=xl/workbook.xml><?xml version="1.0" encoding="utf-8"?>
<x:workbook xmlns:x="http://schemas.openxmlformats.org/spreadsheetml/2006/main">
  <x:sheets>
    <x:sheet xmlns:r="http://schemas.openxmlformats.org/officeDocument/2006/relationships" name="Dashboard" sheetId="1" r:id="R22ec360eabfa4321"/>
    <x:sheet xmlns:r="http://schemas.openxmlformats.org/officeDocument/2006/relationships" name="Governance &amp; Usage" sheetId="2" r:id="R0331a5242faa40f6"/>
    <x:sheet xmlns:r="http://schemas.openxmlformats.org/officeDocument/2006/relationships" name="Feature Tracker" sheetId="3" r:id="R2c86a82394854160"/>
    <x:sheet xmlns:r="http://schemas.openxmlformats.org/officeDocument/2006/relationships" name="Development Roadmap" sheetId="4" r:id="Rdd25fa81cd154468"/>
    <x:sheet xmlns:r="http://schemas.openxmlformats.org/officeDocument/2006/relationships" name="Test Matrix" sheetId="5" r:id="R7b162b7b0a9945e9"/>
    <x:sheet xmlns:r="http://schemas.openxmlformats.org/officeDocument/2006/relationships" name="Scope Guardrails" sheetId="6" r:id="Rc552cf54326c4354"/>
    <x:sheet xmlns:r="http://schemas.openxmlformats.org/officeDocument/2006/relationships" name="Lists" sheetId="7" r:id="R3c9bfd029e47475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2">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bb80cc9e77545cf" /><Relationship Type="http://schemas.openxmlformats.org/officeDocument/2006/relationships/theme" Target="/xl/theme/theme1.xml" Id="R1311dafaf5884a59" /><Relationship Type="http://schemas.openxmlformats.org/officeDocument/2006/relationships/sharedStrings" Target="/xl/sharedStrings.xml" Id="R6ee12cd896e8482d" /><Relationship Type="http://schemas.openxmlformats.org/officeDocument/2006/relationships/worksheet" Target="/xl/worksheets/sheet1.xml" Id="R22ec360eabfa4321" /><Relationship Type="http://schemas.openxmlformats.org/officeDocument/2006/relationships/worksheet" Target="/xl/worksheets/sheet2.xml" Id="R0331a5242faa40f6" /><Relationship Type="http://schemas.openxmlformats.org/officeDocument/2006/relationships/worksheet" Target="/xl/worksheets/sheet3.xml" Id="R2c86a82394854160" /><Relationship Type="http://schemas.openxmlformats.org/officeDocument/2006/relationships/worksheet" Target="/xl/worksheets/sheet4.xml" Id="Rdd25fa81cd154468" /><Relationship Type="http://schemas.openxmlformats.org/officeDocument/2006/relationships/worksheet" Target="/xl/worksheets/sheet5.xml" Id="R7b162b7b0a9945e9" /><Relationship Type="http://schemas.openxmlformats.org/officeDocument/2006/relationships/worksheet" Target="/xl/worksheets/sheet6.xml" Id="Rc552cf54326c4354" /><Relationship Type="http://schemas.openxmlformats.org/officeDocument/2006/relationships/worksheet" Target="/xl/worksheets/sheet7.xml" Id="R3c9bfd029e474750" /></Relationships>
</file>

<file path=xl/drawings/_rels/drawing1.xml.rels>&#65279;<?xml version="1.0" encoding="utf-8"?><Relationships xmlns="http://schemas.openxmlformats.org/package/2006/relationships"><Relationship Type="http://schemas.openxmlformats.org/officeDocument/2006/relationships/chart" Target="/xl/drawings/charts/chart1.xml" Id="Rec51a959dcbb46f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c51a959dcbb46f2"/>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a0364adef41042a4" /></Relationships>
</file>

<file path=xl/worksheets/_rels/sheet3.xml.rels>&#65279;<?xml version="1.0" encoding="utf-8"?><Relationships xmlns="http://schemas.openxmlformats.org/package/2006/relationships"><Relationship Type="http://schemas.openxmlformats.org/officeDocument/2006/relationships/table" Target="/xl/tables/table1.xml" Id="Rc4d3f1f39a9e45fb" /></Relationships>
</file>

<file path=xl/worksheets/_rels/sheet4.xml.rels>&#65279;<?xml version="1.0" encoding="utf-8"?><Relationships xmlns="http://schemas.openxmlformats.org/package/2006/relationships"><Relationship Type="http://schemas.openxmlformats.org/officeDocument/2006/relationships/table" Target="/xl/tables/table2.xml" Id="R4906b039604d4e72" /></Relationships>
</file>

<file path=xl/worksheets/_rels/sheet5.xml.rels>&#65279;<?xml version="1.0" encoding="utf-8"?><Relationships xmlns="http://schemas.openxmlformats.org/package/2006/relationships"><Relationship Type="http://schemas.openxmlformats.org/officeDocument/2006/relationships/table" Target="/xl/tables/table3.xml" Id="R76c07f3e07a44eda" /></Relationships>
</file>

<file path=xl/worksheets/_rels/sheet6.xml.rels>&#65279;<?xml version="1.0" encoding="utf-8"?><Relationships xmlns="http://schemas.openxmlformats.org/package/2006/relationships"><Relationship Type="http://schemas.openxmlformats.org/officeDocument/2006/relationships/table" Target="/xl/tables/table4.xml" Id="Rb3f4906439774c95"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x:v>
      </x:c>
      <x:c r="B1" s="86"/>
      <x:c r="C1" s="86"/>
      <x:c r="D1" s="86"/>
      <x:c r="E1" s="86"/>
      <x:c r="F1" s="86"/>
      <x:c r="G1" s="86"/>
      <x:c r="H1" s="86"/>
      <x:c r="I1" s="86"/>
      <x:c r="J1" s="86"/>
    </x:row>
    <x:row r="2" ht="32" customHeight="1">
      <x:c r="A2" s="87" t="str">
        <x:v>Use the Feature Tracker as the source of truth. Update Status, Completion, Priority, Owner and Next Action after each tested feature branch.</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x:c r="A5" s="90" t="str">
        <x:v>In-scope feature rows</x:v>
      </x:c>
      <x:c r="B5" s="91" t="n">
        <x:f>COUNTIFS('Feature Tracker'!$E$5:$E$215,"&lt;&gt;Excluded / Change Request")</x:f>
        <x:v>201</x:v>
      </x:c>
      <x:c r="C5" s="88"/>
      <x:c r="D5" s="92" t="str">
        <x:v>TypeScript</x:v>
      </x:c>
      <x:c r="E5" s="93" t="str">
        <x:v>Passed</x:v>
      </x:c>
      <x:c r="F5" s="94" t="str">
        <x:v>Full project check passed 30 Sep 2026</x:v>
      </x:c>
      <x:c r="G5" s="92" t="str">
        <x:v>Current branch</x:v>
      </x:c>
      <x:c r="H5" s="93" t="str">
        <x:v>codex/homepage-visuals (pushed)</x:v>
      </x:c>
      <x:c r="I5" s="93"/>
      <x:c r="J5" s="94"/>
    </x:row>
    <x:row r="6">
      <x:c r="A6" s="95" t="str">
        <x:v>Completed</x:v>
      </x:c>
      <x:c r="B6" s="96" t="n">
        <x:f>COUNTIF('Feature Tracker'!$F$5:$F$215,"Completed")</x:f>
        <x:v>154</x:v>
      </x:c>
      <x:c r="C6" s="88"/>
      <x:c r="D6" s="97" t="str">
        <x:v>Lint</x:v>
      </x:c>
      <x:c r="E6" s="98" t="str">
        <x:v>Passed</x:v>
      </x:c>
      <x:c r="F6" s="99" t="str">
        <x:v>Zero warnings/errors on 30 Sep 2026</x:v>
      </x:c>
      <x:c r="G6" s="97" t="str">
        <x:v>Stage 6.1</x:v>
      </x:c>
      <x:c r="H6" s="98" t="str">
        <x:v>Homepage visuals approved and pushed</x:v>
      </x:c>
      <x:c r="I6" s="98"/>
      <x:c r="J6" s="99"/>
    </x:row>
    <x:row r="7">
      <x:c r="A7" s="95" t="str">
        <x:v>Feature branch review</x:v>
      </x:c>
      <x:c r="B7" s="96" t="n">
        <x:f>COUNTIF('Feature Tracker'!$F$5:$F$215,"Complete on Feature Branch - Awaiting Review")</x:f>
        <x:v>0</x:v>
      </x:c>
      <x:c r="C7" s="88"/>
      <x:c r="D7" s="97" t="str">
        <x:v>Google auth</x:v>
      </x:c>
      <x:c r="E7" s="98" t="str">
        <x:v>Passed</x:v>
      </x:c>
      <x:c r="F7" s="99" t="str">
        <x:v>12/12 checks + local signup success</x:v>
      </x:c>
      <x:c r="G7" s="97" t="str">
        <x:v>Legal/content</x:v>
      </x:c>
      <x:c r="H7" s="98" t="str">
        <x:v>936baee on origin/codex/homepage-visuals</x:v>
      </x:c>
      <x:c r="I7" s="98"/>
      <x:c r="J7" s="99"/>
    </x:row>
    <x:row r="8">
      <x:c r="A8" s="95" t="str">
        <x:v>Partially/Data layer</x:v>
      </x:c>
      <x:c r="B8" s="96" t="n">
        <x:f>COUNTIF('Feature Tracker'!$F$5:$F$215,"Partially Implemented")+COUNTIF('Feature Tracker'!$F$5:$F$215,"Data Layer Only")+COUNTIF('Feature Tracker'!$F$5:$F$215,"Launch Configuration Pending")</x:f>
        <x:v>31</x:v>
      </x:c>
      <x:c r="C8" s="88"/>
      <x:c r="D8" s="97" t="str">
        <x:v>Production build</x:v>
      </x:c>
      <x:c r="E8" s="98" t="str">
        <x:v>Passed</x:v>
      </x:c>
      <x:c r="F8" s="99" t="str">
        <x:v>15.5.26 build:safe passed 30 Sep; max First Load JS 128 kB; production audit zero vulnerabilities</x:v>
      </x:c>
      <x:c r="G8" s="97" t="str">
        <x:v>Next functionality</x:v>
      </x:c>
      <x:c r="H8" s="98" t="str">
        <x:v>Persistent staging, required CI check and monitoring</x:v>
      </x:c>
      <x:c r="I8" s="98"/>
      <x:c r="J8" s="99"/>
    </x:row>
    <x:row r="9">
      <x:c r="A9" s="95" t="str">
        <x:v>Requires correction</x:v>
      </x:c>
      <x:c r="B9" s="96" t="n">
        <x:f>COUNTIF('Feature Tracker'!$F$5:$F$215,"Requires Correction")</x:f>
        <x:v>0</x:v>
      </x:c>
      <x:c r="C9" s="88"/>
      <x:c r="D9" s="97" t="str">
        <x:v>Database acceptance</x:v>
      </x:c>
      <x:c r="E9" s="98" t="str">
        <x:v>Ongoing</x:v>
      </x:c>
      <x:c r="F9" s="99" t="str">
        <x:v>Run alongside each package</x:v>
      </x:c>
      <x:c r="G9" s="97" t="str">
        <x:v>Browser QA</x:v>
      </x:c>
      <x:c r="H9" s="98" t="str">
        <x:v>Authenticated and populated browser/DB acceptance pending</x:v>
      </x:c>
      <x:c r="I9" s="98"/>
      <x:c r="J9" s="99"/>
    </x:row>
    <x:row r="10">
      <x:c r="A10" s="95" t="str">
        <x:v>Pending</x:v>
      </x:c>
      <x:c r="B10" s="96" t="n">
        <x:f>COUNTIF('Feature Tracker'!$F$5:$F$215,"Pending")</x:f>
        <x:v>15</x:v>
      </x:c>
      <x:c r="C10" s="88"/>
      <x:c r="D10" s="97" t="str">
        <x:v>Responsive/branding</x:v>
      </x:c>
      <x:c r="E10" s="98" t="str">
        <x:v>In progress</x:v>
      </x:c>
      <x:c r="F10" s="99" t="str">
        <x:v>Shell checks pass; visual and accessibility acceptance pending</x:v>
      </x:c>
      <x:c r="G10" s="97" t="str">
        <x:v>Google Maps</x:v>
      </x:c>
      <x:c r="H10" s="98" t="str">
        <x:v>Code configured; live test blocked by billing</x:v>
      </x:c>
      <x:c r="I10" s="98"/>
      <x:c r="J10" s="99"/>
    </x:row>
    <x:row r="11">
      <x:c r="A11" s="100" t="str">
        <x:v>Weighted completion</x:v>
      </x:c>
      <x:c r="B11" s="101" t="n">
        <x:f>SUMIFS('Feature Tracker'!$G$5:$G$215,'Feature Tracker'!$E$5:$E$215,"&lt;&gt;Excluded / Change Request")/B5</x:f>
        <x:v>0.8908955223880599</x:v>
      </x:c>
      <x:c r="C11" s="88"/>
      <x:c r="D11" s="102" t="str">
        <x:v>Security/load</x:v>
      </x:c>
      <x:c r="E11" s="103" t="str">
        <x:v>Pending</x:v>
      </x:c>
      <x:c r="F11" s="104" t="str">
        <x:v>Final hardening gate</x:v>
      </x:c>
      <x:c r="G11" s="102" t="str">
        <x:v>Final QA blocker</x:v>
      </x:c>
      <x:c r="H11" s="103" t="str">
        <x:v>Enable billing and verify live maps</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154</x:v>
      </x:c>
      <x:c r="C15" s="107" t="str">
        <x:v>Implemented in current code and functionally available</x:v>
      </x:c>
      <x:c r="D15" s="88"/>
      <x:c r="E15" s="88"/>
      <x:c r="F15" s="88"/>
      <x:c r="G15" s="88"/>
      <x:c r="H15" s="88"/>
      <x:c r="I15" s="88"/>
      <x:c r="J15" s="88"/>
    </x:row>
    <x:row r="16">
      <x:c r="A16" s="108" t="str">
        <x:v>Branch review</x:v>
      </x:c>
      <x:c r="B16" s="109" t="n">
        <x:f>COUNTIF('Feature Tracker'!$F$5:$F$215,"Complete on Feature Branch - Awaiting Review")</x:f>
        <x:v>0</x:v>
      </x:c>
      <x:c r="C16" s="110" t="str">
        <x:v>Implemented in PR #2 but not yet merged</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31</x:v>
      </x:c>
      <x:c r="C17" s="110" t="str">
        <x:v>Foundation exists; end-to-end feature incomplete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15</x:v>
      </x:c>
      <x:c r="C19" s="110" t="str">
        <x:v>Not implemented</x:v>
      </x:c>
      <x:c r="D19" s="88"/>
      <x:c r="E19" s="88"/>
      <x:c r="F19" s="88"/>
      <x:c r="G19" s="88"/>
      <x:c r="H19" s="88"/>
      <x:c r="I19" s="88"/>
      <x:c r="J19" s="88"/>
    </x:row>
    <x:row r="20">
      <x:c r="A20" s="94" t="str">
        <x:v>Excluded</x:v>
      </x:c>
      <x:c r="B20" s="111" t="n">
        <x:f>COUNTIF('Feature Tracker'!$F$5:$F$215,"Out of Scope / Removed")</x:f>
        <x:v>11</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PR #6: fresh isolated DB, 101-route sweep 0 issues, 83 Chromium tests pass (1 planned skip). Parts Product schema, avatar lifecycle, account/dealer limits and 34-route accessibility scan pass on desktop/mobile; live staging acceptance remains open.</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Automate registration, listing submission/contact, dealer registration, moderation mutations and Safari mobile; verify live provider integrations.</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Execute all critical journeys end to end after functionality completion.</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a0364adef41042a4"/>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CI and isolated DB/browser acceptance in PR #6; persistent online staging remains open</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Stage 6.2 PR #6: repeatable isolated DB, 83 Chromium passes, 1 planned skip and 101-route sweep 0 issues. Parts Product schema, avatar lifecycle, shared write limits and 34-route accessibility audit pass. Online staging, providers, proxy validation, cron schedule, branch protection, manual accessibility and live acceptance remain open.</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Update Status, Completion %, Evidence / Current State, Next Action and Owner on the same feature row.</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Future updates must replace the same Library file so its version history and identity remain intact.</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Partially Implemented</x:v>
      </x:c>
      <x:c r="G10" s="137" t="n">
        <x:v>0.7</x:v>
      </x:c>
      <x:c r="H10" s="136" t="str">
        <x:v>High</x:v>
      </x:c>
      <x:c r="I10" s="136" t="str">
        <x:v>Stage 0</x:v>
      </x:c>
      <x:c r="J10" s="136" t="str">
        <x:v>Unassigned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.env.example exists, but S3 variables are listed while S3 storage is not implemented.</x:v>
      </x:c>
      <x:c r="O10" s="136" t="str">
        <x:v>Align the environment template with the selected production provider.</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Unassigned</x:v>
      </x:c>
      <x:c r="K12" s="136" t="str">
        <x:v>GitHub Actions</x:v>
      </x:c>
      <x:c r="L12" s="136" t="str">
        <x:v>Every PR is blocked when any required check fails.</x:v>
      </x:c>
      <x:c r="M12" s="136" t="str">
        <x:v>Deliberately failing test; protected-branch verification</x:v>
      </x:c>
      <x:c r="N12" s="136" t="str">
        <x:v>PR #6 CI passes migrations, seed, DB tests, checks, lint, build, sweep and Chromium. Production dependency audit added as a blocking job step.</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scripts/sweep.ts covers principal route shapes.</x:v>
      </x:c>
      <x:c r="O15" s="136" t="str">
        <x:v>Extend as new routes are added.</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Partially Implemented</x:v>
      </x:c>
      <x:c r="G16" s="137" t="n">
        <x:v>0.45</x:v>
      </x:c>
      <x:c r="H16" s="136" t="str">
        <x:v>Critical</x:v>
      </x:c>
      <x:c r="I16" s="136" t="str">
        <x:v>Stage 1</x:v>
      </x:c>
      <x:c r="J16" s="136" t="str">
        <x:v>Unassigned</x:v>
      </x:c>
      <x:c r="K16" s="136" t="str">
        <x:v>Test runner and isolated DB</x:v>
      </x:c>
      <x:c r="L16" s="136" t="str">
        <x:v>Critical actions are tested for success, validation, authorization and rollback.</x:v>
      </x:c>
      <x:c r="M16" s="136" t="str">
        <x:v>Unit; integration; transaction tests</x:v>
      </x:c>
      <x:c r="N16" s="136" t="str">
        <x:v>Node test runner validates seeded reference data, all three inventory verticals and taxonomy facet integrity on isolated PostgreSQL.</x:v>
      </x:c>
      <x:c r="O16" s="136" t="str">
        <x:v>Add transactional success/validation/authorization/rollback tests for critical actions.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Partially Implemented</x:v>
      </x:c>
      <x:c r="G17" s="137" t="n">
        <x:v>0.98</x:v>
      </x:c>
      <x:c r="H17" s="136" t="str">
        <x:v>Critical</x:v>
      </x:c>
      <x:c r="I17" s="136" t="str">
        <x:v>Stage 1</x:v>
      </x:c>
      <x:c r="J17" s="136" t="str">
        <x:v>Unassigned</x:v>
      </x:c>
      <x:c r="K17" s="136" t="str">
        <x:v>Stable staging/test DB</x:v>
      </x:c>
      <x:c r="L17" s="136" t="str">
        <x:v>Core journeys pass in Chromium at desktop and mobile viewports.</x:v>
      </x:c>
      <x:c r="M17" s="136" t="str">
        <x:v>E2E happy path; negative path; accessibility</x:v>
      </x:c>
      <x:c r="N17" s="136" t="str">
        <x:v>Fresh isolated PostgreSQL acceptance: 4 DB checks, 83 desktop/mobile Chromium cases pass and 1 planned skip. 101-route sweep has 0 issues. Parts Product schema, avatar lifecycle, account/dealer limits and 34-route accessibility audit pass; live/manual acceptance remains open.</x:v>
      </x:c>
      <x:c r="O17" s="136" t="str">
        <x:v>Add remaining negative/direct-action authorization paths and final live device acceptance.</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npm audit --omit=dev reports zero vulnerabilities; checks, lint, build, 100-route sweep and 13 Chromium tests pass.</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0.8</x:v>
      </x:c>
      <x:c r="H39" s="136" t="str">
        <x:v>High</x:v>
      </x:c>
      <x:c r="I39" s="136" t="str">
        <x:v>Stage 0</x:v>
      </x:c>
      <x:c r="J39" s="136" t="str">
        <x:v>Unassigned</x:v>
      </x:c>
      <x:c r="K39" s="136" t="str">
        <x:v>Local branch preview</x:v>
      </x:c>
      <x:c r="L39" s="136" t="str">
        <x:v>No clipping, overflow, overlap or unusable tap targets at agreed viewports.</x:v>
      </x:c>
      <x:c r="M39" s="136" t="str">
        <x:v>1440, 1024, 768, 414, 390, 360 px</x:v>
      </x:c>
      <x:c r="N39" s="136" t="str">
        <x:v>Owner approved homepage visual package and 936baee is pushed. Earlier 320px/1440px primary-route checks found no overflow; comprehensive cross-route responsive acceptance remains open.</x:v>
      </x:c>
      <x:c r="O39" s="136" t="str">
        <x:v>Complete desktop/tablet/mobile visual acceptance across buyer, seller, dealer and admin flows.</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Implemented with dummy-hash timing protection.</x:v>
      </x:c>
      <x:c r="O41" s="136" t="str">
        <x:v>Add rate limiting and integration tests.</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PostgreSQL-backed atomic limits cover sign-in, registration, reset and verification actions; Google sign-in start now limits configured IP requests. Successful sign-in clears the account attempt bucket. Concurrent DB and desktop/mobile browser retry tests pass.</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0.8</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Upload POST now compares Origin with the incoming Host and rejects mismatches. Authenticated desktop/mobile Chromium test confirms foreign-origin 403 while valid uploads still succeed. Next server actions keep their built-in origin/session protections.</x:v>
      </x:c>
      <x:c r="O50" s="136" t="str">
        <x:v>Review remaining state-changing routes and proxy host configuration in staging; complete final cross-origin assessment.</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Route and action both enforce admin access.</x:v>
      </x:c>
      <x:c r="O52" s="136" t="str">
        <x:v>Add authorization integration tests.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0.7</x:v>
      </x:c>
      <x:c r="H53" s="136" t="str">
        <x:v>Critical</x:v>
      </x:c>
      <x:c r="I53" s="136" t="str">
        <x:v>Stage 6</x:v>
      </x:c>
      <x:c r="J53" s="136" t="str">
        <x:v>Unassigned</x:v>
      </x:c>
      <x:c r="K53" s="136" t="str">
        <x:v>Production DB access</x:v>
      </x:c>
      <x:c r="L53" s="136" t="str">
        <x:v>Named administrator is created through a documented auditable process and no default password is committed.</x:v>
      </x:c>
      <x:c r="M53" s="136" t="str">
        <x:v>Access test; audit review</x:v>
      </x:c>
      <x:c r="N53" s="136" t="str">
        <x:v>Local admin was set manually; production admin not created.</x:v>
      </x:c>
      <x:c r="O53" s="136" t="str">
        <x:v>Create production runbook and initial admin at deployment.</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Signed V1</x:v>
      </x:c>
      <x:c r="F57" s="136" t="str">
        <x:v>Pending</x:v>
      </x:c>
      <x:c r="G57" s="137" t="n">
        <x:v>0</x:v>
      </x:c>
      <x:c r="H57" s="136" t="str">
        <x:v>High</x:v>
      </x:c>
      <x:c r="I57" s="136" t="str">
        <x:v>Stage 4</x:v>
      </x:c>
      <x:c r="J57" s="136" t="str">
        <x:v>Unassigned</x:v>
      </x:c>
      <x:c r="K57" s="136" t="str">
        <x:v>Verification fields and admin UI</x:v>
      </x:c>
      <x:c r="L57" s="136" t="str">
        <x:v>Only authorized admins grant/revoke verification and actions are logged.</x:v>
      </x:c>
      <x:c r="M57" s="136" t="str">
        <x:v>Grant/revoke; badge accuracy; audit log</x:v>
      </x:c>
      <x:c r="N57" s="136" t="str">
        <x:v>Phone verification timestamp exists but no seller verification workflow/UI.</x:v>
      </x:c>
      <x:c r="O57" s="136" t="str">
        <x:v>Clarify badge field and implement admin controls.</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0.75</x:v>
      </x:c>
      <x:c r="H79" s="136" t="str">
        <x:v>High</x:v>
      </x:c>
      <x:c r="I79" s="136" t="str">
        <x:v>Stage 6</x:v>
      </x:c>
      <x:c r="J79" s="136" t="str">
        <x:v>Unassigned</x:v>
      </x:c>
      <x:c r="K79" s="136" t="str">
        <x:v>External cron scheduler</x:v>
      </x:c>
      <x:c r="L79" s="136" t="str">
        <x:v>Expired listings stop appearing as active and seller can understand/reactivate per policy.</x:v>
      </x:c>
      <x:c r="M79" s="136" t="str">
        <x:v>TTL boundary; cron auth; search/detail behavior</x:v>
      </x:c>
      <x:c r="N79" s="136" t="str">
        <x:v>Protected expire endpoint exists; scheduler and reactivation are missing.</x:v>
      </x:c>
      <x:c r="O79" s="136" t="str">
        <x:v>Configure scheduler and define renewal flow.</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Server and listing schema enforce limits.</x:v>
      </x:c>
      <x:c r="O83" s="136" t="str">
        <x:v>Add aggregate request-size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Upload ownership controls were completed with the listing CRUD/security work.</x:v>
      </x:c>
      <x:c r="O84" s="136" t="str">
        <x:v>Retain in final regression and comprehensive browser QA.</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UPLOAD_DIR fallback is implemented.</x:v>
      </x:c>
      <x:c r="O86" s="136" t="str">
        <x:v>Keep local provider development-only.</x:v>
      </x:c>
    </x:row>
    <x:row r="87">
      <x:c r="A87" s="135" t="str">
        <x:v>JW-083</x:v>
      </x:c>
      <x:c r="B87" s="135" t="str">
        <x:v>Media &amp; Images</x:v>
      </x:c>
      <x:c r="C87" s="135" t="str">
        <x:v>Cloudflare Images provider</x:v>
      </x:c>
      <x:c r="D87" s="136" t="str">
        <x:v>Production upload and delivery integration</x:v>
      </x:c>
      <x:c r="E87" s="136" t="str">
        <x:v>Signed V1</x:v>
      </x:c>
      <x:c r="F87" s="136" t="str">
        <x:v>Partially Implemented</x:v>
      </x:c>
      <x:c r="G87" s="137" t="n">
        <x:v>0.65</x:v>
      </x:c>
      <x:c r="H87" s="136" t="str">
        <x:v>Critical</x:v>
      </x:c>
      <x:c r="I87" s="136" t="str">
        <x:v>Stage 6</x:v>
      </x:c>
      <x:c r="J87" s="136" t="str">
        <x:v>Unassigned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Cloudflare upload/display/delete branches exist; public delivery provider and delivery hash are now explicit in the environment template. Local checks pass; staging provider credentials and live media acceptance remain open.</x:v>
      </x:c>
      <x:c r="O87" s="136" t="str">
        <x:v>Configure staging and complete end-to-end media tests.</x:v>
      </x:c>
    </x:row>
    <x:row r="88">
      <x:c r="A88" s="135" t="str">
        <x:v>JW-084</x:v>
      </x:c>
      <x:c r="B88" s="135" t="str">
        <x:v>Media &amp; Images</x:v>
      </x:c>
      <x:c r="C88" s="135" t="str">
        <x:v>S3-compatible provider</x:v>
      </x:c>
      <x:c r="D88" s="136" t="str">
        <x:v>R2/S3 storage option advertised in environment documentation</x:v>
      </x:c>
      <x:c r="E88" s="136" t="str">
        <x:v>Signed V1</x:v>
      </x:c>
      <x:c r="F88" s="136" t="str">
        <x:v>Out of Scope / Removed</x:v>
      </x:c>
      <x:c r="G88" s="137" t="n">
        <x:v>1</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Unsupported S3/R2 environment options were removed. Storage and delivery now reject unknown provider values instead of silently using local disk/URLs; the upload security check covers this failure mode.</x:v>
      </x:c>
      <x:c r="O88" s="136" t="str">
        <x:v>Cloudflare Images remains the documented durable production option; staging configuration and end-to-end provider acceptance are tracked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0.7</x:v>
      </x:c>
      <x:c r="H89" s="136" t="str">
        <x:v>High</x:v>
      </x:c>
      <x:c r="I89" s="136" t="str">
        <x:v>Stage 6</x:v>
      </x:c>
      <x:c r="J89" s="136" t="str">
        <x:v>Unassigned</x:v>
      </x:c>
      <x:c r="K89" s="136" t="str">
        <x:v>Production image provider</x:v>
      </x:c>
      <x:c r="L89" s="136" t="str">
        <x:v>Correct variants load with modern formats, dimensions and acceptable visual quality.</x:v>
      </x:c>
      <x:c r="M89" s="136" t="str">
        <x:v>LCP; mobile bandwidth; broken URLs; alt text</x:v>
      </x:c>
      <x:c r="N89" s="136" t="str">
        <x:v>Next Image and Cloudflare width paths are used; production validation remains.</x:v>
      </x:c>
      <x:c r="O89" s="136" t="str">
        <x:v>Run Lighthouse and real-device tests.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Cars, bikes and parts browsing now have accessible loading skeletons scoped after URL validation, plus route-level recoverable error screens with retry and clear-filters actions. Actionable no-results state was already present; invalid URL 404 and canonical redirects remain protected.</x:v>
      </x:c>
      <x:c r="O111" s="136" t="str">
        <x:v>Exercise the error boundary with a controlled backend failure in isolated browser acceptance, then verify slow-network loading and retry on live devices.</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0.6</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Indexes are designed; no load/query-plan test has been run.</x:v>
      </x:c>
      <x:c r="O112" s="136" t="str">
        <x:v>Seed production-like volume and load test.</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Implemented for cars.</x:v>
      </x:c>
      <x:c r="O121" s="136" t="str">
        <x:v>Validate listing ownership/status in inspection action.</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Unassigned</x:v>
      </x:c>
      <x:c r="K122" s="136" t="str">
        <x:v>Database</x:v>
      </x:c>
      <x:c r="L122" s="136" t="str">
        <x:v>Human views are counted consistently without blocking response or inflating from owner/bots beyond approved rules.</x:v>
      </x:c>
      <x:c r="M122" s="136" t="str">
        <x:v>Repeated/bot/owner; DB failure; concurrency</x:v>
      </x:c>
      <x:c r="N122" s="136" t="str">
        <x:v>Basic counter exists and explicitly counts crawler hits.</x:v>
      </x:c>
      <x:c r="O122" s="136" t="str">
        <x:v>Define view policy and use daily unique aggregation if needed.</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Pending</x:v>
      </x:c>
      <x:c r="G133" s="137" t="n">
        <x:v>0</x:v>
      </x:c>
      <x:c r="H133" s="136" t="str">
        <x:v>High</x:v>
      </x:c>
      <x:c r="I133" s="136" t="str">
        <x:v>Stage 3</x:v>
      </x:c>
      <x:c r="J133" s="136" t="str">
        <x:v>Unassigned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No alert job/provider/template exists.</x:v>
      </x:c>
      <x:c r="O133" s="136" t="str">
        <x:v>Choose email provider and build notification worker.</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Implemented.</x:v>
      </x:c>
      <x:c r="O134" s="136" t="str">
        <x:v>Add integration tests and logo support.</x:v>
      </x:c>
    </x:row>
    <x:row r="135">
      <x:c r="A135" s="135" t="str">
        <x:v>JW-131</x:v>
      </x:c>
      <x:c r="B135" s="135" t="str">
        <x:v>Dealer Features</x:v>
      </x:c>
      <x:c r="C135" s="135" t="str">
        <x:v>Dealer public directory</x:v>
      </x:c>
      <x:c r="D135" s="136" t="str">
        <x:v>Group dealers by city with live inventory counts</x:v>
      </x:c>
      <x:c r="E135" s="136" t="str">
        <x:v>Signed V1</x:v>
      </x:c>
      <x:c r="F135" s="136" t="str">
        <x:v>Partially Implemented</x:v>
      </x:c>
      <x:c r="G135" s="137" t="n">
        <x:v>0.9</x:v>
      </x:c>
      <x:c r="H135" s="136" t="str">
        <x:v>High</x:v>
      </x:c>
      <x:c r="I135" s="136" t="str">
        <x:v>Stage 4</x:v>
      </x:c>
      <x:c r="J135" s="136" t="str">
        <x:v>Unassigned</x:v>
      </x:c>
      <x:c r="K135" s="136" t="str">
        <x:v>Dealer data</x:v>
      </x:c>
      <x:c r="L135" s="136" t="str">
        <x:v>Page labeling matches whether it lists all or only verified dealers and counts are accurate.</x:v>
      </x:c>
      <x:c r="M135" s="136" t="str">
        <x:v>Verified/unverified; zero listings; pagination</x:v>
      </x:c>
      <x:c r="N135" s="136" t="str">
        <x:v>Dealer directory/storefront behavior is implemented; comprehensive browser acceptance remains deferred.</x:v>
      </x:c>
      <x:c r="O135" s="136" t="str">
        <x:v>Complete during final QA/hardening after functionality development.</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Implemented for car inventory.</x:v>
      </x:c>
      <x:c r="O136" s="136" t="str">
        <x:v>Extend to bike/parts if dealers may list them.</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0.6</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Sitemap is force-dynamic, but build still requires DB for page data in this workspace.</x:v>
      </x:c>
      <x:c r="O165" s="136" t="str">
        <x:v>Define staging/build database requirements.</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0.55</x:v>
      </x:c>
      <x:c r="H168" s="136" t="str">
        <x:v>High</x:v>
      </x:c>
      <x:c r="I168" s="136" t="str">
        <x:v>Stage 6</x:v>
      </x:c>
      <x:c r="J168" s="136" t="str">
        <x:v>Unassigned</x:v>
      </x:c>
      <x:c r="K168" s="136" t="str">
        <x:v>Status lifecycle</x:v>
      </x:c>
      <x:c r="L168" s="136" t="str">
        <x:v>Sold pages follow approved retention policy; private/removed pages are not publicly exposed.</x:v>
      </x:c>
      <x:c r="M168" s="136" t="str">
        <x:v>All statuses; canonical; sitemap/search exclusion</x:v>
      </x:c>
      <x:c r="N168" s="136" t="str">
        <x:v>Current detail-route guard serves inactive listings only to the owner or admin. Browser acceptance confirms pending-review and removed ads return public 404; metadata noindexes non-active views.</x:v>
      </x:c>
      <x:c r="O168" s="136" t="str">
        <x:v>Confirm sold and expired buyer experience with product policy, and run staging crawler acceptance.</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x:v>
      </x:c>
      <x:c r="H170" s="136" t="str">
        <x:v>Critical</x:v>
      </x:c>
      <x:c r="I170" s="136" t="str">
        <x:v>Stage 1</x:v>
      </x:c>
      <x:c r="J170" s="136" t="str">
        <x:v>Unassigned</x:v>
      </x:c>
      <x:c r="K170" s="136" t="str">
        <x:v>All CRUD actions</x:v>
      </x:c>
      <x:c r="L170" s="136" t="str">
        <x:v>Every mutation and private resource has explicit server-side authorization tests.</x:v>
      </x:c>
      <x:c r="M170" s="136" t="str">
        <x:v>IDOR; direct action calls; cross-user access</x:v>
      </x:c>
      <x:c r="N170" s="136" t="str">
        <x:v>Server ownership checks now have desktop/mobile browser coverage: another seller receives rendered not-found page and no edit controls; owner can edit price and delete own bike, with DB/media/public URL cleanup. Remaining direct-action IDOR matrix is open.</x:v>
      </x:c>
      <x:c r="O170" s="136" t="str">
        <x:v>Cover direct cross-user action calls and private media references across remaining modules.</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0.97</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Audited user-input Zod constraints across car, bike, parts, inspection, assistance, dealer, account and saved-search actions. Missing integer, bound and enum messages now explain corrections; malformed city/variant IDs have regression checks. Full check, lint, production build and 97-route local sweep pass.</x:v>
      </x:c>
      <x:c r="O171" s="136" t="str">
        <x:v>Complete direct server-action tampering/browser negative matrix for auth, edits, deletes and admin permissions in JW-166/JW-177.</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0.98</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PostgreSQL limits now cover authentication, OAuth start, uploads, contact, reports, manual-service requests, ad publication, account profile/password/avatar and dealer registration/profile/logo. Fresh desktop/mobile browser tests verify denied account/dealer writes preserve database state; atomic concurrency DB test passes.</x:v>
      </x:c>
      <x:c r="O172" s="136" t="str">
        <x:v>Validate trusted proxy IP headers, thresholds, expiry recovery and security alerts in staging; review remaining remove and administrator write actions.</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0.75</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Privacy Policy is live and linked. A final provider/data-retention review and any required consent UI remain for launch hardening.</x:v>
      </x:c>
      <x:c r="O174" s="136" t="str">
        <x:v>Validate final provider disclosures and consent requirements before production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Pending</x:v>
      </x:c>
      <x:c r="G175" s="137" t="n">
        <x:v>0</x:v>
      </x:c>
      <x:c r="H175" s="136" t="str">
        <x:v>High</x:v>
      </x:c>
      <x:c r="I175" s="136" t="str">
        <x:v>Stage 6</x:v>
      </x:c>
      <x:c r="J175" s="136" t="str">
        <x:v>Unassigned</x:v>
      </x:c>
      <x:c r="K175" s="136" t="str">
        <x:v>Privacy policy and operations</x:v>
      </x:c>
      <x:c r="L175" s="136" t="str">
        <x:v>Retention schedule and deletion workflows are documented and executable.</x:v>
      </x:c>
      <x:c r="M175" s="136" t="str">
        <x:v>Retention job; account deletion; backup implications</x:v>
      </x:c>
      <x:c r="N175" s="136" t="str">
        <x:v>Only expired-session purge exists.</x:v>
      </x:c>
      <x:c r="O175" s="136" t="str">
        <x:v>Define policy and implement necessary tools.</x:v>
      </x:c>
    </x:row>
    <x:row r="176">
      <x:c r="A176" s="135" t="str">
        <x:v>JW-172</x:v>
      </x:c>
      <x:c r="B176" s="135" t="str">
        <x:v>Security &amp; Privacy</x:v>
      </x:c>
      <x:c r="C176" s="135" t="str">
        <x:v>Security review</x:v>
      </x:c>
      <x:c r="D176" s="136" t="str">
        <x:v>Pre-launch application and infrastructure assessment</x:v>
      </x:c>
      <x:c r="E176" s="136" t="str">
        <x:v>Signed V1</x:v>
      </x:c>
      <x:c r="F176" s="136" t="str">
        <x:v>Pending</x:v>
      </x:c>
      <x:c r="G176" s="137" t="n">
        <x:v>0</x:v>
      </x:c>
      <x:c r="H176" s="136" t="str">
        <x:v>Critical</x:v>
      </x:c>
      <x:c r="I176" s="136" t="str">
        <x:v>Stage 6</x:v>
      </x:c>
      <x:c r="J176" s="136" t="str">
        <x:v>Unassigned</x:v>
      </x:c>
      <x:c r="K176" s="136" t="str">
        <x:v>Feature-complete staging</x:v>
      </x:c>
      <x:c r="L176" s="136" t="str">
        <x:v>No unresolved critical/high issue remains; remediation is regression-tested.</x:v>
      </x:c>
      <x:c r="M176" s="136" t="str">
        <x:v>OWASP review; dependency; auth; IDOR; upload; headers</x:v>
      </x:c>
      <x:c r="N176" s="136" t="str">
        <x:v>No formal review has been completed.</x:v>
      </x:c>
      <x:c r="O176" s="136" t="str">
        <x:v>Schedule after V1 feature completion.</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0.95</x:v>
      </x:c>
      <x:c r="H181" s="136" t="str">
        <x:v>Critical</x:v>
      </x:c>
      <x:c r="I181" s="136" t="str">
        <x:v>Stage 6</x:v>
      </x:c>
      <x:c r="J181" s="136" t="str">
        <x:v>Unassigned</x:v>
      </x:c>
      <x:c r="K181" s="136" t="str">
        <x:v>E2E framework</x:v>
      </x:c>
      <x:c r="L181" s="136" t="str">
        <x:v>Critical launch journeys run automatically and pass.</x:v>
      </x:c>
      <x:c r="M181" s="136" t="str">
        <x:v>Happy/negative/authz/mobile</x:v>
      </x:c>
      <x:c r="N181" s="136" t="str">
        <x:v>Fresh isolated PostgreSQL acceptance: 4 DB checks, 83 desktop/mobile Chromium passes and 1 planned skip. 101-route sweep has 0 issues; parts Product schema, avatar lifecycle, write-denial and 34-route accessibility audit pass in both viewports.</x:v>
      </x:c>
      <x:c r="O181" s="136" t="str">
        <x:v>Cover remaining direct-action and validation negatives; add Safari/mobile device and live staging acceptance.</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0.5</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Simulated Android Chromium passes search, sign-in, dealer registration, all three listing publications, photo upload, phone reveal, moderation and viewport width.</x:v>
      </x:c>
      <x:c r="O182" s="136" t="str">
        <x:v>Add simulated Safari/iPhone and mobile keyboard/upload checks; real-device review remains parked.</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Automated axe-core audit covers 34 routes across public, seller, dealer, administrator and car/bike/part detail journeys in both viewports. Fixed low-contrast text and phone CTA, form labels and navigation landmarks. Manual assistive-technology/live-device acceptance remains open.</x:v>
      </x:c>
      <x:c r="O183" s="136" t="str">
        <x:v>Complete manual screen-reader, keyboard, zoom and reduced-motion acceptance, then extend automated scans to remaining conditional form states.</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x:v>
      </x:c>
      <x:c r="H184" s="136" t="str">
        <x:v>High</x:v>
      </x:c>
      <x:c r="I184" s="136" t="str">
        <x:v>Stage 6</x:v>
      </x:c>
      <x:c r="J184" s="136" t="str">
        <x:v>Unassigned</x:v>
      </x:c>
      <x:c r="K184" s="136" t="str">
        <x:v>Production-like media/data</x:v>
      </x:c>
      <x:c r="L184" s="136" t="str">
        <x:v>Public routes meet JS budget and agreed LCP/CLS/INP targets on mobile.</x:v>
      </x:c>
      <x:c r="M184" s="136" t="str">
        <x:v>Bundle report; Lighthouse; 4G profile</x:v>
      </x:c>
      <x:c r="N184" s="136" t="str">
        <x:v>30 Sep production build passes with max First Load JS 128 kB, below the 150 kB project ceiling; Sep 9 changes removed duplicate account queries and unused homepage counts. Staging Web Vitals/load acceptance remains open.</x:v>
      </x:c>
      <x:c r="O184" s="136" t="str">
        <x:v>Measure Core Web Vitals and browse query/load behavior on production-like staging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Pending</x:v>
      </x:c>
      <x:c r="G185" s="137" t="n">
        <x:v>0</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No load test performed.</x:v>
      </x:c>
      <x:c r="O185" s="136" t="str">
        <x:v>Create dataset and execute before launch.</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Pending</x:v>
      </x:c>
      <x:c r="G186" s="137" t="n">
        <x:v>0</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Process is informal.</x:v>
      </x:c>
      <x:c r="O186" s="136" t="str">
        <x:v>Use this workbook's Test Matrix for feature sign-off.</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No production deployment is documented as complete.</x:v>
      </x:c>
      <x:c r="O194" s="136" t="str">
        <x:v>Select and configure hosting.</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Unassigned</x:v>
      </x:c>
      <x:c r="K196" s="136" t="str">
        <x:v>Cloudflare or implemented provider</x:v>
      </x:c>
      <x:c r="L196" s="136" t="str">
        <x:v>Uploads survive deployments and load through correct public URLs.</x:v>
      </x:c>
      <x:c r="M196" s="136" t="str">
        <x:v>Upload/display/delete; cache; failure</x:v>
      </x:c>
      <x:c r="N196" s="136" t="str">
        <x:v>Local provider is not production-safe.</x:v>
      </x:c>
      <x:c r="O196" s="136" t="str">
        <x:v>Configure and validate selected provider.</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Domain exists, but application production deployment is not verified.</x:v>
      </x:c>
      <x:c r="O197" s="136" t="str">
        <x:v>Configure after hosting selection.</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Pending</x:v>
      </x:c>
      <x:c r="G199" s="137" t="n">
        <x:v>0</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Only console logging exists.</x:v>
      </x:c>
      <x:c r="O199" s="136" t="str">
        <x:v>Configure structured logs and error monitoring.</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Pending</x:v>
      </x:c>
      <x:c r="G200" s="137" t="n">
        <x:v>0</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Not configured.</x:v>
      </x:c>
      <x:c r="O200" s="136" t="str">
        <x:v>Add after staging is live.</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0.4</x:v>
      </x:c>
      <x:c r="H202" s="136" t="str">
        <x:v>Medium</x:v>
      </x:c>
      <x:c r="I202" s="136" t="str">
        <x:v>Stage 6</x:v>
      </x:c>
      <x:c r="J202" s="136" t="str">
        <x:v>Unassigned</x:v>
      </x:c>
      <x:c r="K202" s="136" t="str">
        <x:v>Analytics decision/privacy policy</x:v>
      </x:c>
      <x:c r="L202" s="136" t="str">
        <x:v>Page traffic and lead conversions are measurable without claiming advanced BI.</x:v>
      </x:c>
      <x:c r="M202" s="136" t="str">
        <x:v>Event accuracy; consent; duplicate events</x:v>
      </x:c>
      <x:c r="N202" s="136" t="str">
        <x:v>Lead events exist; no approved site analytics configuration shown.</x:v>
      </x:c>
      <x:c r="O202" s="136" t="str">
        <x:v>Define basic V1 measurement plan.</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c4d3f1f39a9e45fb"/>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Development-first sequence: implement -&gt; automated checks + database acceptance -&gt; local commit -&gt; explicit approval before push/merge. Comprehensive browser, branding and responsive QA occur after functionality is complete.</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Users manage saved filters and receive deduplicated consented alerts.</x:v>
      </x:c>
      <x:c r="F17" s="141" t="str">
        <x:v>Match and delivery tests pass.</x:v>
      </x:c>
      <x:c r="G17" s="141" t="str">
        <x:v>Completed</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chore/launch-quality-system</x:v>
      </x:c>
      <x:c r="E23" s="141" t="str">
        <x:v>PR checks, staging, E2E and monitoring are operational.</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chore/production-readiness</x:v>
      </x:c>
      <x:c r="E24" s="141" t="str">
        <x:v>DB/media/backups/cron/logs/domain/security/load tests are complete.</x:v>
      </x:c>
      <x:c r="F24" s="141" t="str">
        <x:v>Formal launch checklist has no open critical/high issue.</x:v>
      </x:c>
      <x:c r="G24" s="141" t="str">
        <x:v>Not Started</x:v>
      </x:c>
    </x:row>
  </x:sheetData>
  <x:mergeCells>
    <x:mergeCell ref="A1:G1"/>
    <x:mergeCell ref="A2:G2"/>
  </x:mergeCells>
  <x:pageMargins left="0.7" right="0.7" top="0.75" bottom="0.75" header="0.3" footer="0.3"/>
  <x:tableParts count="1">
    <x:tablePart xmlns:r="http://schemas.openxmlformats.org/officeDocument/2006/relationships" r:id="R4906b039604d4e7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Automated feature checks plus desktop/mobile Chromium cross-user edit-page denial</x:v>
      </x:c>
      <x:c r="F10" s="141" t="str">
        <x:v>Partial pass: rendered not-found and no edit controls for another seller; direct action/media IDOR cases remain</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Manual only</x:v>
      </x:c>
      <x:c r="F18" s="141" t="str">
        <x:v>Pending automation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Chromium upload/public WebP URL, foreign-Origin 403 and request-bucket 429 before file read</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Manual only</x:v>
      </x:c>
      <x:c r="F21" s="141" t="str">
        <x:v>Pending automation</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Automated checks</x:v>
      </x:c>
      <x:c r="F22" s="141" t="str">
        <x:v>Passed</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Automated checks</x:v>
      </x:c>
      <x:c r="F34" s="141" t="str">
        <x:v>Feature passed; delivery provider configuration pending</x:v>
      </x:c>
      <x:c r="G34" s="141" t="str">
        <x:v>Saved search/alerts complete</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Route sweep partial</x:v>
      </x:c>
      <x:c r="F36" s="141" t="str">
        <x:v>Pending automation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Automated checks plus desktop/mobile Chromium admin verify/revoke, public badge and DB audit assertions</x:v>
      </x:c>
      <x:c r="F37" s="141" t="str">
        <x:v>Passed: grant/revoke changes verified_at and public badge; both decisions append audit events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Chromium admin status update, append-only event, customer visibility and private-note exclusion</x:v>
      </x:c>
      <x:c r="F39" s="141" t="str">
        <x:v>Partial pass: requested to contacted lifecycle and privacy verified; invalid transitions still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Chromium structured request, DB fields, admin update, append-only event and customer privacy</x:v>
      </x:c>
      <x:c r="F40" s="141" t="str">
        <x:v>Partial pass: request/manage and customer history verified; negative cases still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Chromium admin approve, hide, reinstate and permanent removal; DB audit and public visibility</x:v>
      </x:c>
      <x:c r="F43" s="141" t="str">
        <x:v>Partial pass: moderation status/audit/visibility verified; reports and direct non-admin denial remain open</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Chromium ban, session revocation, unban, audit history and restored login</x:v>
      </x:c>
      <x:c r="F44" s="141" t="str">
        <x:v>Passed browser lifecycle and DB enforcement; retain direct-action authorization in security regression</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visual review plus Playwright mobile width check</x:v>
      </x:c>
      <x:c r="F45" s="141" t="str">
        <x:v>Partial pass: approved homepage; mobile width passes; Safari/cross-route QA pending</x:v>
      </x:c>
      <x:c r="G45" s="141" t="str">
        <x:v>PR #2 local preview</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Not run</x:v>
      </x:c>
      <x:c r="F52" s="141" t="str">
        <x:v>Pre-launch</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Not run</x:v>
      </x:c>
      <x:c r="F54" s="141" t="str">
        <x:v>Pre-launch</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GitHub CI plus local clean isolated DB</x:v>
      </x:c>
      <x:c r="F55" s="141" t="str">
        <x:v>Passed local and CI #36631593477: migrations, curated/demo seed, DB assertions</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Not run</x:v>
      </x:c>
      <x:c r="F56" s="141" t="str">
        <x:v>Pre-launch</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Manual partial</x:v>
      </x:c>
      <x:c r="F57" s="141" t="str">
        <x:v>Pending scheduler</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76c07f3e07a44ed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Password auth; secure email reset to be designed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b3f4906439774c9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