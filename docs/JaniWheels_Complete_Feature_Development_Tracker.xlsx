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90a24b7d1a4057" /></Relationships>
</file>

<file path=xl/workbook.xml><?xml version="1.0" encoding="utf-8"?>
<x:workbook xmlns:x="http://schemas.openxmlformats.org/spreadsheetml/2006/main">
  <x:sheets>
    <x:sheet xmlns:r="http://schemas.openxmlformats.org/officeDocument/2006/relationships" name="Dashboard" sheetId="1" r:id="R8251b599a86e4b91"/>
    <x:sheet xmlns:r="http://schemas.openxmlformats.org/officeDocument/2006/relationships" name="Governance &amp; Usage" sheetId="2" r:id="Rd237775a496245ba"/>
    <x:sheet xmlns:r="http://schemas.openxmlformats.org/officeDocument/2006/relationships" name="Feature Tracker" sheetId="3" r:id="R9a8d6f54dc7a453a"/>
    <x:sheet xmlns:r="http://schemas.openxmlformats.org/officeDocument/2006/relationships" name="Development Roadmap" sheetId="4" r:id="R3b8f7040fa1449a3"/>
    <x:sheet xmlns:r="http://schemas.openxmlformats.org/officeDocument/2006/relationships" name="Test Matrix" sheetId="5" r:id="R686944cf1e5f4cda"/>
    <x:sheet xmlns:r="http://schemas.openxmlformats.org/officeDocument/2006/relationships" name="Scope Guardrails" sheetId="6" r:id="R69e3d2b91214412c"/>
    <x:sheet xmlns:r="http://schemas.openxmlformats.org/officeDocument/2006/relationships" name="Lists" sheetId="7" r:id="R4b9a8b029e2f454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caacedca25942c5" /><Relationship Type="http://schemas.openxmlformats.org/officeDocument/2006/relationships/theme" Target="/xl/theme/theme1.xml" Id="Rc74d947853c64d07" /><Relationship Type="http://schemas.openxmlformats.org/officeDocument/2006/relationships/sharedStrings" Target="/xl/sharedStrings.xml" Id="R0da1bd770cdc40be" /><Relationship Type="http://schemas.openxmlformats.org/officeDocument/2006/relationships/worksheet" Target="/xl/worksheets/sheet1.xml" Id="R8251b599a86e4b91" /><Relationship Type="http://schemas.openxmlformats.org/officeDocument/2006/relationships/worksheet" Target="/xl/worksheets/sheet2.xml" Id="Rd237775a496245ba" /><Relationship Type="http://schemas.openxmlformats.org/officeDocument/2006/relationships/worksheet" Target="/xl/worksheets/sheet3.xml" Id="R9a8d6f54dc7a453a" /><Relationship Type="http://schemas.openxmlformats.org/officeDocument/2006/relationships/worksheet" Target="/xl/worksheets/sheet4.xml" Id="R3b8f7040fa1449a3" /><Relationship Type="http://schemas.openxmlformats.org/officeDocument/2006/relationships/worksheet" Target="/xl/worksheets/sheet5.xml" Id="R686944cf1e5f4cda" /><Relationship Type="http://schemas.openxmlformats.org/officeDocument/2006/relationships/worksheet" Target="/xl/worksheets/sheet6.xml" Id="R69e3d2b91214412c" /><Relationship Type="http://schemas.openxmlformats.org/officeDocument/2006/relationships/worksheet" Target="/xl/worksheets/sheet7.xml" Id="R4b9a8b029e2f4542" /></Relationships>
</file>

<file path=xl/drawings/_rels/drawing1.xml.rels>&#65279;<?xml version="1.0" encoding="utf-8"?><Relationships xmlns="http://schemas.openxmlformats.org/package/2006/relationships"><Relationship Type="http://schemas.openxmlformats.org/officeDocument/2006/relationships/chart" Target="/xl/drawings/charts/chart1.xml" Id="R5207cd1180ca40a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07cd1180ca40ad"/>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3ef1836ab804494" /></Relationships>
</file>

<file path=xl/worksheets/_rels/sheet3.xml.rels>&#65279;<?xml version="1.0" encoding="utf-8"?><Relationships xmlns="http://schemas.openxmlformats.org/package/2006/relationships"><Relationship Type="http://schemas.openxmlformats.org/officeDocument/2006/relationships/table" Target="/xl/tables/table1.xml" Id="Rdfb8003d4ed342a2" /></Relationships>
</file>

<file path=xl/worksheets/_rels/sheet4.xml.rels>&#65279;<?xml version="1.0" encoding="utf-8"?><Relationships xmlns="http://schemas.openxmlformats.org/package/2006/relationships"><Relationship Type="http://schemas.openxmlformats.org/officeDocument/2006/relationships/table" Target="/xl/tables/table2.xml" Id="R9e094b05eb3b4a05" /></Relationships>
</file>

<file path=xl/worksheets/_rels/sheet5.xml.rels>&#65279;<?xml version="1.0" encoding="utf-8"?><Relationships xmlns="http://schemas.openxmlformats.org/package/2006/relationships"><Relationship Type="http://schemas.openxmlformats.org/officeDocument/2006/relationships/table" Target="/xl/tables/table3.xml" Id="R47bf664d1fdd444f" /></Relationships>
</file>

<file path=xl/worksheets/_rels/sheet6.xml.rels>&#65279;<?xml version="1.0" encoding="utf-8"?><Relationships xmlns="http://schemas.openxmlformats.org/package/2006/relationships"><Relationship Type="http://schemas.openxmlformats.org/officeDocument/2006/relationships/table" Target="/xl/tables/table4.xml" Id="R352d2442d2df4d45"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Local + CI passed</x:v>
      </x:c>
      <x:c r="G5" s="92" t="str">
        <x:v>Current branch</x:v>
      </x:c>
      <x:c r="H5" s="93" t="str">
        <x:v>codex/launch-quality-system; PR #6</x:v>
      </x:c>
      <x:c r="I5" s="93"/>
      <x:c r="J5" s="94"/>
    </x:row>
    <x:row r="6" ht="16.799999237060547" hidden="0" customHeight="1">
      <x:c r="A6" s="95" t="str">
        <x:v>Completed</x:v>
      </x:c>
      <x:c r="B6" s="96" t="n">
        <x:f>COUNTIF('Feature Tracker'!$F$5:$F$215,"Completed")</x:f>
        <x:v>156</x:v>
      </x:c>
      <x:c r="C6" s="88"/>
      <x:c r="D6" s="97" t="str">
        <x:v>Lint</x:v>
      </x:c>
      <x:c r="E6" s="98" t="str">
        <x:v>Passed</x:v>
      </x:c>
      <x:c r="F6" s="99" t="str">
        <x:v>No local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agent review done; run 43 passed on 0569081; merge separate</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35</x:v>
      </x:c>
      <x:c r="C8" s="88"/>
      <x:c r="D8" s="97" t="str">
        <x:v>Production build</x:v>
      </x:c>
      <x:c r="E8" s="98" t="str">
        <x:v>Passed</x:v>
      </x:c>
      <x:c r="F8" s="99" t="str">
        <x:v>Final build passed; max First Load JS 128 KB</x:v>
      </x:c>
      <x:c r="G8" s="97" t="str">
        <x:v>Next functionality</x:v>
      </x:c>
      <x:c r="H8" s="98" t="str">
        <x:v>Live providers/hosting, retention and verification decisions</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7 DB checks pass; live deployment checks remain</x:v>
      </x:c>
      <x:c r="G9" s="97" t="str">
        <x:v>Browser QA</x:v>
      </x:c>
      <x:c r="H9" s="98" t="str">
        <x:v>Full CI passed; real-device/provider gates open</x:v>
      </x:c>
      <x:c r="I9" s="98"/>
      <x:c r="J9" s="99"/>
    </x:row>
    <x:row r="10" ht="39.599998474121094" hidden="0" customHeight="1">
      <x:c r="A10" s="95" t="str">
        <x:v>Pending</x:v>
      </x:c>
      <x:c r="B10" s="96" t="n">
        <x:f>COUNTIF('Feature Tracker'!$F$5:$F$215,"Pending")</x:f>
        <x:v>8</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0.9262</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156</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35</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8</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Application head 0569081 passed full GitHub run 43: audit, migrations, DB tests, check, lint, build, route sweep and browser tests. Agent self-review completed with no additional blocking regression identified; see docs/PR6_REVIEW.md. Review closeout changes docs/tracker only. Maintainer approval/main merge and live launch acceptance remain separate.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Remaining gates require hosting/provider access, owner retention/verification decisions, HTTPS real-device/screen-reader acceptance and production-like load testing. PR #6 agent review is complete; main merge is separate. Details and required inputs: docs/PR6_REVIEW.md.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33ef1836ab804494"/>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Application head 0569081 passed full GitHub run 43. Agent self-review completed and recorded in docs/PR6_REVIEW.md; no additional blocking regression identified. Review closeout is docs/tracker only. Independent maintainer approval/main merge, live providers, owner policy decisions and real-device/load acceptance remain separate gates.</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0.9</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Seven isolated PostgreSQL checks pass, including 105-match alert overflow, queue deduplication, concurrent delivery, immutable retry payloads, opt-out/ban/email changes and expired retry-window suppression, plus bootstrap rollback/serialization and existing ownership/reference/rate-limit checks.</x:v>
      </x:c>
      <x:c r="O16" s="136" t="str">
        <x:v>Retain the clean CI gate and extend tests when remaining provider/retention decisions are implemented.</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GitHub run 43 passed on 0569081: audit, migrations, seed, DB tests, check, lint, build, sweep and browser acceptance. Agent self-review completed; no additional blocking regression identified. See docs/PR6_REVIEW.md. Maintainer approval/main merge remains separate.</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Manual dealer verification is implemented separately. docs/PROJECT.md explicitly keeps entered phone numbers unverified; individual-seller badge meaning and evidence requirements are not defined. Do not repurpose phone_verified_at or imply SMS/identity verification.</x:v>
      </x:c>
      <x:c r="O57" s="136" t="str">
        <x:v>Owner must define individual-seller badge semantics and acceptable manual evidence before adding a public claim.</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0.8</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Rollback-only 10,000-car query-plan sample identified and fixed newest-first index ordering. Final local sample: recent 0.077 ms via listings_recent_idx; city+price 0.103 ms; city count 1.033 ms. See docs/LOCAL_QUERY_PLAN_REPORT.md. Single-run core queries are not full browse/load acceptance.</x:v>
      </x:c>
      <x:c r="O112" s="136" t="str">
        <x:v>Repeat full browse joins, deep pagination and concurrent queries on representative staging data and hosting.</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Existing session/token/rate-bucket/orphan cleanup remains. Added a read-only retention inventory with aggregate counts/oldest dates and explicit account/report/service/audit/alert/backup policy decisions in docs/RETENTION_DECISIONS.md. Inventory ran on isolated DB; no customer records exported/deleted.</x:v>
      </x:c>
      <x:c r="O175" s="136" t="str">
        <x:v>Approve retention periods, legal holds, anonymization and backup replay rules before destructive lifecycle tooling.</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0.55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Private provider signing/configuration failures now have mock coverage; cron prototype-name routing is rejected and cron errors no longer expose exception text. Readiness failures are generic; runtime validation redacts values. Alert eligibility/lease/retry controls pass DB tests. Infrastructure/provider and formal review remain open.</x:v>
      </x:c>
      <x:c r="O176" s="136" t="str">
        <x:v>Review final PR and live provider/proxy/storage/log configuration; close high/critical launch findings.</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Full GitHub run 43 passed on 0569081, including DB and browser acceptance, sweep, audit/check/lint/build. Agent review found no additional blocking regression in reviewed changes. Live/provider/real-device acceptance remains open.</x:v>
      </x:c>
      <x:c r="O181" s="136" t="str">
        <x:v>Current-head clean CI and final provider/real-device/staging acceptance govern sign-off.</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0.6</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Next request-error hook emits structured timestamp/method/route-template/category events without request bodies, query strings, cookies or exception messages. Operator runbook documents host collection, access controls and review of separate framework/provider logs.</x:v>
      </x:c>
      <x:c r="O199" s="136" t="str">
        <x:v>Configure hosted log retention, aggregation and actionable error alerts; test an end-to-end staging alert.</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0.6</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docs/OPERATIONS.md defines basic V1 database measures, raw-view limitations and alert acceptance semantics. No external tracker or new analytics identifiers introduced; advanced analytics remains out of scope.</x:v>
      </x:c>
      <x:c r="O202" s="136" t="str">
        <x:v>Approve unique-visitor/consent requirements if needed and configure the chosen operational measurement/reporting process.</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dfb8003d4ed342a2"/>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Private-media code, delivery worker, deployment validation, readiness/error events, retention inventory and local query/load baselines implemented. Live hosting/DB/media/mail/backups/cron/monitoring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9e094b05eb3b4a0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47bf664d1fdd444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352d2442d2df4d4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