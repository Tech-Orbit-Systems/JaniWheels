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fbac6c64b094e2b" /></Relationships>
</file>

<file path=xl/workbook.xml><?xml version="1.0" encoding="utf-8"?>
<x:workbook xmlns:x="http://schemas.openxmlformats.org/spreadsheetml/2006/main">
  <x:sheets>
    <x:sheet xmlns:r="http://schemas.openxmlformats.org/officeDocument/2006/relationships" name="Dashboard" sheetId="1" r:id="R3a794ce6a12242b2"/>
    <x:sheet xmlns:r="http://schemas.openxmlformats.org/officeDocument/2006/relationships" name="Governance &amp; Usage" sheetId="2" r:id="Rf224af8e304b439d"/>
    <x:sheet xmlns:r="http://schemas.openxmlformats.org/officeDocument/2006/relationships" name="Feature Tracker" sheetId="3" r:id="Rbfd847c6cda64544"/>
    <x:sheet xmlns:r="http://schemas.openxmlformats.org/officeDocument/2006/relationships" name="Development Roadmap" sheetId="4" r:id="R9aafa6fdbb6740ce"/>
    <x:sheet xmlns:r="http://schemas.openxmlformats.org/officeDocument/2006/relationships" name="Test Matrix" sheetId="5" r:id="Rd337dba245f1433d"/>
    <x:sheet xmlns:r="http://schemas.openxmlformats.org/officeDocument/2006/relationships" name="Scope Guardrails" sheetId="6" r:id="Ree3720479bbf4c7f"/>
    <x:sheet xmlns:r="http://schemas.openxmlformats.org/officeDocument/2006/relationships" name="Lists" sheetId="7" r:id="R36ae3ee487b44fe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3">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xf numFmtId="201" fontId="19" fillId="5" borderId="6" xfId="0" applyNumberFormat="1" applyFont="1" applyFill="1" applyBorder="1"/>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c990c3aca5b496d" /><Relationship Type="http://schemas.openxmlformats.org/officeDocument/2006/relationships/theme" Target="/xl/theme/theme1.xml" Id="Re2984ccf577c472e" /><Relationship Type="http://schemas.openxmlformats.org/officeDocument/2006/relationships/sharedStrings" Target="/xl/sharedStrings.xml" Id="Rd2eded3e254541b4" /><Relationship Type="http://schemas.openxmlformats.org/officeDocument/2006/relationships/worksheet" Target="/xl/worksheets/sheet1.xml" Id="R3a794ce6a12242b2" /><Relationship Type="http://schemas.openxmlformats.org/officeDocument/2006/relationships/worksheet" Target="/xl/worksheets/sheet2.xml" Id="Rf224af8e304b439d" /><Relationship Type="http://schemas.openxmlformats.org/officeDocument/2006/relationships/worksheet" Target="/xl/worksheets/sheet3.xml" Id="Rbfd847c6cda64544" /><Relationship Type="http://schemas.openxmlformats.org/officeDocument/2006/relationships/worksheet" Target="/xl/worksheets/sheet4.xml" Id="R9aafa6fdbb6740ce" /><Relationship Type="http://schemas.openxmlformats.org/officeDocument/2006/relationships/worksheet" Target="/xl/worksheets/sheet5.xml" Id="Rd337dba245f1433d" /><Relationship Type="http://schemas.openxmlformats.org/officeDocument/2006/relationships/worksheet" Target="/xl/worksheets/sheet6.xml" Id="Ree3720479bbf4c7f" /><Relationship Type="http://schemas.openxmlformats.org/officeDocument/2006/relationships/worksheet" Target="/xl/worksheets/sheet7.xml" Id="R36ae3ee487b44fe4"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d53e89a5084631"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d53e89a5084631"/>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03a6448fc074c24" /></Relationships>
</file>

<file path=xl/worksheets/_rels/sheet3.xml.rels>&#65279;<?xml version="1.0" encoding="utf-8"?><Relationships xmlns="http://schemas.openxmlformats.org/package/2006/relationships"><Relationship Type="http://schemas.openxmlformats.org/officeDocument/2006/relationships/table" Target="/xl/tables/table1.xml" Id="R7cd68bf20cdd4c96" /></Relationships>
</file>

<file path=xl/worksheets/_rels/sheet4.xml.rels>&#65279;<?xml version="1.0" encoding="utf-8"?><Relationships xmlns="http://schemas.openxmlformats.org/package/2006/relationships"><Relationship Type="http://schemas.openxmlformats.org/officeDocument/2006/relationships/table" Target="/xl/tables/table2.xml" Id="Rfa78f65d738c41da" /></Relationships>
</file>

<file path=xl/worksheets/_rels/sheet5.xml.rels>&#65279;<?xml version="1.0" encoding="utf-8"?><Relationships xmlns="http://schemas.openxmlformats.org/package/2006/relationships"><Relationship Type="http://schemas.openxmlformats.org/officeDocument/2006/relationships/table" Target="/xl/tables/table3.xml" Id="R9b8f001ac6e34bc3" /></Relationships>
</file>

<file path=xl/worksheets/_rels/sheet6.xml.rels>&#65279;<?xml version="1.0" encoding="utf-8"?><Relationships xmlns="http://schemas.openxmlformats.org/package/2006/relationships"><Relationship Type="http://schemas.openxmlformats.org/officeDocument/2006/relationships/table" Target="/xl/tables/table4.xml" Id="R4e8775fb475c4709"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 — 3 October 2026</x:v>
      </x:c>
      <x:c r="B1" s="86"/>
      <x:c r="C1" s="86"/>
      <x:c r="D1" s="86"/>
      <x:c r="E1" s="86"/>
      <x:c r="F1" s="86"/>
      <x:c r="G1" s="86"/>
      <x:c r="H1" s="86"/>
      <x:c r="I1" s="86"/>
      <x:c r="J1" s="86"/>
    </x:row>
    <x:row r="2" ht="32" customHeight="1">
      <x:c r="A2" s="87" t="str">
        <x:v>Completion is the equal-weight average of in-scope feature estimates, not effort spent or launch approval. Evidence, remaining gates and next actions are recorded in Feature Tracker.</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ht="16.799999237060547" hidden="0" customHeight="1">
      <x:c r="A5" s="90" t="str">
        <x:v>In-scope feature rows</x:v>
      </x:c>
      <x:c r="B5" s="91" t="n">
        <x:f>COUNTIFS('Feature Tracker'!$A$5:$A$215,"&lt;&gt;",'Feature Tracker'!$E$5:$E$215,"&lt;&gt;Excluded / Change Request",'Feature Tracker'!$F$5:$F$215,"&lt;&gt;Out of Scope / Removed")</x:f>
        <x:v>200</x:v>
      </x:c>
      <x:c r="C5" s="88"/>
      <x:c r="D5" s="92" t="str">
        <x:v>TypeScript</x:v>
      </x:c>
      <x:c r="E5" s="93" t="str">
        <x:v>Passed</x:v>
      </x:c>
      <x:c r="F5" s="94" t="str">
        <x:v>Local + CI passed</x:v>
      </x:c>
      <x:c r="G5" s="92" t="str">
        <x:v>Current branch</x:v>
      </x:c>
      <x:c r="H5" s="93" t="str">
        <x:v>codex/launch-quality-system; PR #6</x:v>
      </x:c>
      <x:c r="I5" s="93"/>
      <x:c r="J5" s="94"/>
    </x:row>
    <x:row r="6" ht="16.799999237060547" hidden="0" customHeight="1">
      <x:c r="A6" s="95" t="str">
        <x:v>Completed</x:v>
      </x:c>
      <x:c r="B6" s="96" t="n">
        <x:f>COUNTIF('Feature Tracker'!$F$5:$F$215,"Completed")</x:f>
        <x:v>156</x:v>
      </x:c>
      <x:c r="C6" s="88"/>
      <x:c r="D6" s="97" t="str">
        <x:v>Lint</x:v>
      </x:c>
      <x:c r="E6" s="98" t="str">
        <x:v>Passed</x:v>
      </x:c>
      <x:c r="F6" s="99" t="str">
        <x:v>No local lint warnings/errors</x:v>
      </x:c>
      <x:c r="G6" s="97" t="str">
        <x:v>Current stage</x:v>
      </x:c>
      <x:c r="H6" s="98" t="str">
        <x:v>Homepage merged via PR #5; Stage 6.2 active</x:v>
      </x:c>
      <x:c r="I6" s="98"/>
      <x:c r="J6" s="99"/>
    </x:row>
    <x:row r="7" ht="26.399999618530273" hidden="0" customHeight="1">
      <x:c r="A7" s="95" t="str">
        <x:v>Feature branch review</x:v>
      </x:c>
      <x:c r="B7" s="96" t="n">
        <x:f>COUNTIF('Feature Tracker'!$F$5:$F$215,"Complete on Feature Branch - Awaiting Review")</x:f>
        <x:v>1</x:v>
      </x:c>
      <x:c r="C7" s="88"/>
      <x:c r="D7" s="97" t="str">
        <x:v>Google auth</x:v>
      </x:c>
      <x:c r="E7" s="98" t="str">
        <x:v>Passed</x:v>
      </x:c>
      <x:c r="F7" s="99" t="str">
        <x:v>Local signup/checks pass; live provider review open</x:v>
      </x:c>
      <x:c r="G7" s="97" t="str">
        <x:v>Current PR / CI</x:v>
      </x:c>
      <x:c r="H7" s="98" t="str">
        <x:v>PR #6 open; run 42 passed on 254e171; current head checks govern</x:v>
      </x:c>
      <x:c r="I7" s="98"/>
      <x:c r="J7" s="99"/>
    </x:row>
    <x:row r="8" ht="26.399999618530273" hidden="0" customHeight="1">
      <x:c r="A8" s="95" t="str">
        <x:v>Partial / configuration</x:v>
      </x:c>
      <x:c r="B8" s="96" t="n">
        <x:f>COUNTIF('Feature Tracker'!$F$5:$F$215,"Partially Implemented")+COUNTIF('Feature Tracker'!$F$5:$F$215,"Data Layer Only")+COUNTIF('Feature Tracker'!$F$5:$F$215,"Launch Configuration Pending")</x:f>
        <x:v>35</x:v>
      </x:c>
      <x:c r="C8" s="88"/>
      <x:c r="D8" s="97" t="str">
        <x:v>Production build</x:v>
      </x:c>
      <x:c r="E8" s="98" t="str">
        <x:v>Passed</x:v>
      </x:c>
      <x:c r="F8" s="99" t="str">
        <x:v>Final build passed; max First Load JS 128 KB</x:v>
      </x:c>
      <x:c r="G8" s="97" t="str">
        <x:v>Next functionality</x:v>
      </x:c>
      <x:c r="H8" s="98" t="str">
        <x:v>Live providers/hosting, retention and verification decisions</x:v>
      </x:c>
      <x:c r="I8" s="98"/>
      <x:c r="J8" s="99"/>
    </x:row>
    <x:row r="9" ht="26.399999618530273" hidden="0" customHeight="1">
      <x:c r="A9" s="95" t="str">
        <x:v>Requires correction</x:v>
      </x:c>
      <x:c r="B9" s="96" t="n">
        <x:f>COUNTIF('Feature Tracker'!$F$5:$F$215,"Requires Correction")</x:f>
        <x:v>0</x:v>
      </x:c>
      <x:c r="C9" s="88"/>
      <x:c r="D9" s="97" t="str">
        <x:v>Database acceptance</x:v>
      </x:c>
      <x:c r="E9" s="98" t="str">
        <x:v>Local passed</x:v>
      </x:c>
      <x:c r="F9" s="99" t="str">
        <x:v>7 DB checks pass; live deployment checks remain</x:v>
      </x:c>
      <x:c r="G9" s="97" t="str">
        <x:v>Browser QA</x:v>
      </x:c>
      <x:c r="H9" s="98" t="str">
        <x:v>Full CI acceptance passed; live/device gates open</x:v>
      </x:c>
      <x:c r="I9" s="98"/>
      <x:c r="J9" s="99"/>
    </x:row>
    <x:row r="10" ht="39.599998474121094" hidden="0" customHeight="1">
      <x:c r="A10" s="95" t="str">
        <x:v>Pending</x:v>
      </x:c>
      <x:c r="B10" s="96" t="n">
        <x:f>COUNTIF('Feature Tracker'!$F$5:$F$215,"Pending")</x:f>
        <x:v>8</x:v>
      </x:c>
      <x:c r="C10" s="88"/>
      <x:c r="D10" s="97" t="str">
        <x:v>Responsive/branding</x:v>
      </x:c>
      <x:c r="E10" s="98" t="str">
        <x:v>Partial pass</x:v>
      </x:c>
      <x:c r="F10" s="99" t="str">
        <x:v>Owner homepage review + automated axe/viewport; manual review open</x:v>
      </x:c>
      <x:c r="G10" s="97" t="str">
        <x:v>Google Maps</x:v>
      </x:c>
      <x:c r="H10" s="98" t="str">
        <x:v>Code configured; live test blocked by billing</x:v>
      </x:c>
      <x:c r="I10" s="98"/>
      <x:c r="J10" s="99"/>
    </x:row>
    <x:row r="11" ht="26.399999618530273" hidden="0" customHeight="1">
      <x:c r="A11" s="100" t="str">
        <x:v>Overall completion</x:v>
      </x:c>
      <x:c r="B11" s="142" t="n">
        <x:f>SUMIFS('Feature Tracker'!$G$5:$G$215,'Feature Tracker'!$E$5:$E$215,"&lt;&gt;Excluded / Change Request",'Feature Tracker'!$F$5:$F$215,"&lt;&gt;Out of Scope / Removed")/B5</x:f>
        <x:v>0.9262</x:v>
      </x:c>
      <x:c r="C11" s="88"/>
      <x:c r="D11" s="102" t="str">
        <x:v>Security/load</x:v>
      </x:c>
      <x:c r="E11" s="103" t="str">
        <x:v>Partial pass</x:v>
      </x:c>
      <x:c r="F11" s="104" t="str">
        <x:v>Local security checks pass; formal review/load open</x:v>
      </x:c>
      <x:c r="G11" s="102" t="str">
        <x:v>Final QA blocker</x:v>
      </x:c>
      <x:c r="H11" s="103" t="str">
        <x:v>Hosting/providers, Cloudflare privacy, load and final acceptance</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156</x:v>
      </x:c>
      <x:c r="C15" s="107" t="str">
        <x:v>Implemented and available in current code; does not mean production launch approval</x:v>
      </x:c>
      <x:c r="D15" s="88"/>
      <x:c r="E15" s="88"/>
      <x:c r="F15" s="88"/>
      <x:c r="G15" s="88"/>
      <x:c r="H15" s="88"/>
      <x:c r="I15" s="88"/>
      <x:c r="J15" s="88"/>
    </x:row>
    <x:row r="16">
      <x:c r="A16" s="108" t="str">
        <x:v>Branch review</x:v>
      </x:c>
      <x:c r="B16" s="109" t="n">
        <x:f>COUNTIF('Feature Tracker'!$F$5:$F$215,"Complete on Feature Branch - Awaiting Review")</x:f>
        <x:v>1</x:v>
      </x:c>
      <x:c r="C16" s="110" t="str">
        <x:v>Implementation verified on feature branch; PR review/merge outstanding</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35</x:v>
      </x:c>
      <x:c r="C17" s="110" t="str">
        <x:v>Partly implemented or awaiting configuration/acceptance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8</x:v>
      </x:c>
      <x:c r="C19" s="110" t="str">
        <x:v>No implemented delivery for this feature; see row-specific prerequisites</x:v>
      </x:c>
      <x:c r="D19" s="88"/>
      <x:c r="E19" s="88"/>
      <x:c r="F19" s="88"/>
      <x:c r="G19" s="88"/>
      <x:c r="H19" s="88"/>
      <x:c r="I19" s="88"/>
      <x:c r="J19" s="88"/>
    </x:row>
    <x:row r="20">
      <x:c r="A20" s="94" t="str">
        <x:v>Excluded</x:v>
      </x:c>
      <x:c r="B20" s="111" t="n">
        <x:f>COUNTIF('Feature Tracker'!$F$5:$F$215,"Out of Scope / Removed")</x:f>
        <x:v>11</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GitHub run 42 passed on 254e171: migrations, DB tests, check, lint, build, route sweep, full browser acceptance and production dependency audit. Subsequent alert UUID retry fix passed targeted local DB acceptance/check/lint/build. PR #6 review and current-head CI remain merge gates. Production/provider/device acceptance remains open.</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Remaining: hosting/HTTPS and production DB; live Cloudflare/Resend/Google/Maps acceptance; backups, schedules and external monitoring; retention/individual-seller/measurement decisions; staging load and real-device review. Review PR #6 before merge.</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Complete remaining negative/failure cases and live provider/real-device journeys using the regression checklist. Core local browser suite already passes.</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403a6448fc074c24"/>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CI and isolated DB/browser acceptance in PR #6; persistent online staging remains open</x:v>
      </x:c>
      <x:c r="C7" s="127"/>
      <x:c r="D7" s="127"/>
      <x:c r="E7" s="127"/>
      <x:c r="F7" s="128"/>
    </x:row>
    <x:row r="8" ht="25" customHeight="1">
      <x:c r="A8" s="126" t="str">
        <x:v>Current branch</x:v>
      </x:c>
      <x:c r="B8" s="127" t="str">
        <x:v>codex/launch-quality-system (pushed; PR #6 open)</x:v>
      </x:c>
      <x:c r="C8" s="127"/>
      <x:c r="D8" s="127"/>
      <x:c r="E8" s="127"/>
      <x:c r="F8" s="128"/>
    </x:row>
    <x:row r="9" ht="25" customHeight="1">
      <x:c r="A9" s="129" t="str">
        <x:v>Current checkpoint</x:v>
      </x:c>
      <x:c r="B9" s="130" t="str">
        <x:v>GitHub acceptance run 42 passed on 254e171, including audit, migrations, database tests, check/lint/build, route sweep and browser tests. Alert UUID review fix passes targeted local DB acceptance and required local checks. Each completed package is committed and pushed with this master tracker; PR review/merge, production credentials, owner policy and real-device gates remain separate.</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Review Status, Completion estimate, Evidence, Next Action and Owner after every verified package. Estimates reflect feature acceptance, not commit/test counts or elapsed effort. Dashboard uses an equal-weight average excluding removed scope.</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Maintain the repository master at docs/JaniWheels_Complete_Feature_Development_Tracker.xlsx. Older exported/Library copies may be stale; no automatic Library synchronization is claimed.</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Repository reconciliation: 30 Sep 2026 | Homepage visuals approved by owner; commit 936baee pushed to origin/codex/homepage-visuals | Full checks, lint and build passed | Final cross-route browser/DB and live Google Maps acceptance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Completed</x:v>
      </x:c>
      <x:c r="G10" s="137" t="n">
        <x:v>1</x:v>
      </x:c>
      <x:c r="H10" s="136" t="str">
        <x:v>High</x:v>
      </x:c>
      <x:c r="I10" s="136" t="str">
        <x:v>Stage 0</x:v>
      </x:c>
      <x:c r="J10" s="136" t="str">
        <x:v>Backend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Runtime startup validation and stricter launch CLI implemented and tested. Checks origins, PostgreSQL URL, non-placeholder secret, provider alignment, private-media variables, OAuth pairs and unsafe upload paths without printing values. Removed unused Typesense settings. Current local config passes; launch check correctly reports missing HTTPS/live email/durable media and cron-secret requirements.</x:v>
      </x:c>
      <x:c r="O10" s="136" t="str">
        <x:v>Run npm run check:deployment with the selected deployment configuration; live services remain separately tracked.</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DevOps</x:v>
      </x:c>
      <x:c r="K12" s="136" t="str">
        <x:v>GitHub Actions</x:v>
      </x:c>
      <x:c r="L12" s="136" t="str">
        <x:v>Every PR is blocked when any required check fails.</x:v>
      </x:c>
      <x:c r="M12" s="136" t="str">
        <x:v>Deliberately failing test; protected-branch verification</x:v>
      </x:c>
      <x:c r="N12" s="136" t="str">
        <x:v>GitHub run 37 passed all quality/acceptance gates on a96704b: https://github.com/Tech-Orbit-Systems/JaniWheels/actions/runs/37035200489 . Branch protection and a deliberate failing-check merge block remain unverified.</x:v>
      </x:c>
      <x:c r="O12" s="136" t="str">
        <x:v>Mark check required in branch protection and demonstrate deliberate failure blocks merge.</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Fresh isolated acceptance checks 101 URLs with zero issues. Final media rebuild follow-up checked 103 URLs with zero issues. GitHub run 37 passed on a96704b.</x:v>
      </x:c>
      <x:c r="O15" s="136" t="str">
        <x:v>Keep the sweep in CI and add routes as functionality grows.</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Partially Implemented</x:v>
      </x:c>
      <x:c r="G16" s="137" t="n">
        <x:v>0.9</x:v>
      </x:c>
      <x:c r="H16" s="136" t="str">
        <x:v>Critical</x:v>
      </x:c>
      <x:c r="I16" s="136" t="str">
        <x:v>Stage 1</x:v>
      </x:c>
      <x:c r="J16" s="136" t="str">
        <x:v>QA</x:v>
      </x:c>
      <x:c r="K16" s="136" t="str">
        <x:v>Test runner and isolated DB</x:v>
      </x:c>
      <x:c r="L16" s="136" t="str">
        <x:v>Critical actions are tested for success, validation, authorization and rollback.</x:v>
      </x:c>
      <x:c r="M16" s="136" t="str">
        <x:v>Unit; integration; transaction tests</x:v>
      </x:c>
      <x:c r="N16" s="136" t="str">
        <x:v>Seven isolated PostgreSQL checks pass, including 105-match alert overflow, queue deduplication, concurrent delivery, immutable retry payloads, opt-out/ban/email changes and expired retry-window suppression, plus bootstrap rollback/serialization and existing ownership/reference/rate-limit checks.</x:v>
      </x:c>
      <x:c r="O16" s="136" t="str">
        <x:v>Retain the clean CI gate and extend tests when remaining provider/retention decisions are implemented.</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Complete on Feature Branch - Awaiting Review</x:v>
      </x:c>
      <x:c r="G17" s="137" t="n">
        <x:v>1</x:v>
      </x:c>
      <x:c r="H17" s="136" t="str">
        <x:v>Critical</x:v>
      </x:c>
      <x:c r="I17" s="136" t="str">
        <x:v>Stage 1</x:v>
      </x:c>
      <x:c r="J17" s="136" t="str">
        <x:v>QA</x:v>
      </x:c>
      <x:c r="K17" s="136" t="str">
        <x:v>Stable staging/test DB</x:v>
      </x:c>
      <x:c r="L17" s="136" t="str">
        <x:v>Core journeys pass in Chromium at desktop and mobile viewports.</x:v>
      </x:c>
      <x:c r="M17" s="136" t="str">
        <x:v>E2E happy path; negative path; accessibility</x:v>
      </x:c>
      <x:c r="N17" s="136" t="str">
        <x:v>GitHub run 42 passed the complete acceptance pipeline on 254e171: dependency audit, migrations, seed, DB tests, check, lint, build, sweep and browser tests. PR #6 remains open for review; current head checks govern merge.</x:v>
      </x:c>
      <x:c r="O17" s="136" t="str">
        <x:v>Review PR #6; retain regression coverage. Track additional cases in JW-177 rather than reopening the test-framework implementation.</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npm audit --omit=dev reports zero vulnerabilities; checks, lint, build, 100-route sweep and 13 Chromium tests pass.</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Homepage redesign is present in current branch ancestry and automated project checks pass; final branding/responsive acceptance is intentionally deferred.</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0.95</x:v>
      </x:c>
      <x:c r="H39" s="136" t="str">
        <x:v>High</x:v>
      </x:c>
      <x:c r="I39" s="136" t="str">
        <x:v>Stage 0</x:v>
      </x:c>
      <x:c r="J39" s="136" t="str">
        <x:v>QA</x:v>
      </x:c>
      <x:c r="K39" s="136" t="str">
        <x:v>Local branch preview</x:v>
      </x:c>
      <x:c r="L39" s="136" t="str">
        <x:v>No clipping, overflow, overlap or unusable tap targets at agreed viewports.</x:v>
      </x:c>
      <x:c r="M39" s="136" t="str">
        <x:v>1440, 1024, 768, 414, 390, 360 px</x:v>
      </x:c>
      <x:c r="N39" s="136" t="str">
        <x:v>Desktop/mobile dealer checks and tablet 1024x768 checks pass across home, cars, bikes, parts, dealers and login at 200% text size. Fixed header/footer overflow. Reduced-motion hero/sell visuals are static. Owner-approved homepage remains in place.</x:v>
      </x:c>
      <x:c r="O39" s="136" t="str">
        <x:v>Real-device, camera/file picker, screen-reader and slow-network HTTPS acceptance remain parked for launch.</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Password login has timing protection and PostgreSQL rate limits. Desktop/mobile tests cover valid, invalid, banned and unverified accounts, retry limits and password-reset session revocation.</x:v>
      </x:c>
      <x:c r="O41" s="136" t="str">
        <x:v>Retain CI regression; verify production cookie/origin/provider configuration at launch.</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safeNext is implemented.</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PostgreSQL-backed atomic limits cover sign-in, registration, reset and verification actions; Google sign-in start now limits configured IP requests. Successful sign-in clears the account attempt bucket. Concurrent DB and desktop/mobile browser retry tests pass.</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0.8</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Upload POST now compares Origin with the incoming Host and rejects mismatches. Authenticated desktop/mobile Chromium test confirms foreign-origin 403 while valid uploads still succeed. Next server actions keep their built-in origin/session protections.</x:v>
      </x:c>
      <x:c r="O50" s="136" t="str">
        <x:v>Review remaining state-changing routes and proxy host configuration in staging; complete final cross-origin assessment.</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Banned login is denied; desktop/mobile browser tests confirm admin ban revokes active sessions, unban appends an audit record and restored user can sign in. Admin ban/unban UI is implemented.</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Administrator routes/actions check role. Direct hide/remove/ban HTTP replay rejects seller and anonymous actors without DB/audit changes; identical administrator payload succeeds. CI run 37 passed.</x:v>
      </x:c>
      <x:c r="O52" s="136" t="str">
        <x:v>Extend dealer/service direct-action authorization under JW-166; retain existing administrator regressions.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0.9</x:v>
      </x:c>
      <x:c r="H53" s="136" t="str">
        <x:v>Critical</x:v>
      </x:c>
      <x:c r="I53" s="136" t="str">
        <x:v>Stage 6</x:v>
      </x:c>
      <x:c r="J53" s="136" t="str">
        <x:v>DevOps</x:v>
      </x:c>
      <x:c r="K53" s="136" t="str">
        <x:v>Production DB access</x:v>
      </x:c>
      <x:c r="L53" s="136" t="str">
        <x:v>Named administrator is created through a documented auditable process and no default password is committed.</x:v>
      </x:c>
      <x:c r="M53" s="136" t="str">
        <x:v>Access test; audit review</x:v>
      </x:c>
      <x:c r="N53" s="136" t="str">
        <x:v>Preview-first operator CLI and docs/ADMIN_BOOTSTRAP.md implemented. Explicit database-name confirmation, verified/unbanned unique account checks, no second-admin bootstrap, serialized concurrent attempts, atomic audit and session revocation, rollback and idempotency pass in isolated migrated-table tests. No production account was changed.</x:v>
      </x:c>
      <x:c r="O53" s="136" t="str">
        <x:v>At deployment, select the named verified owner, preview/apply on the intended production DB, reauthenticate and record operator/access review.</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Signed V1</x:v>
      </x:c>
      <x:c r="F57" s="136" t="str">
        <x:v>Pending</x:v>
      </x:c>
      <x:c r="G57" s="137" t="n">
        <x:v>0</x:v>
      </x:c>
      <x:c r="H57" s="136" t="str">
        <x:v>High</x:v>
      </x:c>
      <x:c r="I57" s="136" t="str">
        <x:v>Stage 4</x:v>
      </x:c>
      <x:c r="J57" s="136" t="str">
        <x:v>Product Owner</x:v>
      </x:c>
      <x:c r="K57" s="136" t="str">
        <x:v>Verification fields and admin UI</x:v>
      </x:c>
      <x:c r="L57" s="136" t="str">
        <x:v>Only authorized admins grant/revoke verification and actions are logged.</x:v>
      </x:c>
      <x:c r="M57" s="136" t="str">
        <x:v>Grant/revoke; badge accuracy; audit log</x:v>
      </x:c>
      <x:c r="N57" s="136" t="str">
        <x:v>Manual dealer verification is implemented separately. docs/PROJECT.md explicitly keeps entered phone numbers unverified; individual-seller badge meaning and evidence requirements are not defined. Do not repurpose phone_verified_at or imply SMS/identity verification.</x:v>
      </x:c>
      <x:c r="O57" s="136" t="str">
        <x:v>Owner must define individual-seller badge semantics and acceptable manual evidence before adding a public claim.</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Implemented through /api/taxonomy.</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Cars, bikes and parts publishing flows are implemented with instant publication, seller limits and synchronized facets.</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Owner listing CRUD, image management, lifecycle controls and inactive-listing privacy are implemented.</x:v>
      </x:c>
      <x:c r="O75" s="136" t="str">
        <x:v>Retain in final regression and comprehensive browser QA.</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Owner listing CRUD, image management, lifecycle controls and inactive-listing privacy are implemented.</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0.95</x:v>
      </x:c>
      <x:c r="H79" s="136" t="str">
        <x:v>High</x:v>
      </x:c>
      <x:c r="I79" s="136" t="str">
        <x:v>Stage 6</x:v>
      </x:c>
      <x:c r="J79" s="136" t="str">
        <x:v>Backend</x:v>
      </x:c>
      <x:c r="K79" s="136" t="str">
        <x:v>External cron scheduler</x:v>
      </x:c>
      <x:c r="L79" s="136" t="str">
        <x:v>Expired listings stop appearing as active and seller can understand/reactivate per policy.</x:v>
      </x:c>
      <x:c r="M79" s="136" t="str">
        <x:v>TTL boundary; cron auth; search/detail behavior</x:v>
      </x:c>
      <x:c r="N79" s="136" t="str">
        <x:v>Expiry/reactivation local acceptance passes in desktop/mobile: unauthenticated cron denied, due active fixture expires, future fixture remains active, foreign/anonymous reactivation denied, owner receives a fresh 30-day window, and active/rejected/removed requests do not extend it.</x:v>
      </x:c>
      <x:c r="O79" s="136" t="str">
        <x:v>Configure and monitor production expiry scheduling; run full live search/contact/SEO lifecycle acceptance.</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API enforces per-file/count/content-length bounds and hourly user file/byte quotas; listing schema rejects excessive/duplicate keys. Browser request-bucket denial passes.</x:v>
      </x:c>
      <x:c r="O83" s="136" t="str">
        <x:v>Complete exact size/count and aggregate byte boundary tests in T-016; retain the implemented aggregate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Real DB transaction tests reject foreign, duplicate and reused keys. Desktop/mobile publish/edit HTTP replay with foreign photo keys is denied without listing/photo changes; valid owner controls succeed on a96704b.</x:v>
      </x:c>
      <x:c r="O84" s="136" t="str">
        <x:v>Retain passing ownership regressions; finish provider-specific private delivery under JW-083.</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a96704b stores local media in absolute private .uploads; public/ storage is rejected. Existing development files were moved, legacy JPEG fixture decoding preserved, and local GET/HEAD ownership/status checks pass on desktop/mobile. No-store direct previews bypass the optimizer.</x:v>
      </x:c>
      <x:c r="O86" s="136" t="str">
        <x:v>Keep local provider development-only; follow migration guidance in docs/QUALITY.md.</x:v>
      </x:c>
    </x:row>
    <x:row r="87">
      <x:c r="A87" s="135" t="str">
        <x:v>JW-083</x:v>
      </x:c>
      <x:c r="B87" s="135" t="str">
        <x:v>Media &amp; Images</x:v>
      </x:c>
      <x:c r="C87" s="135" t="str">
        <x:v>Cloudflare Images provider</x:v>
      </x:c>
      <x:c r="D87" s="136" t="str">
        <x:v>Production upload and delivery integration</x:v>
      </x:c>
      <x:c r="E87" s="136" t="str">
        <x:v>Signed V1</x:v>
      </x:c>
      <x:c r="F87" s="136" t="str">
        <x:v>Launch Configuration Pending</x:v>
      </x:c>
      <x:c r="G87" s="137" t="n">
        <x:v>0.9</x:v>
      </x:c>
      <x:c r="H87" s="136" t="str">
        <x:v>Critical</x:v>
      </x:c>
      <x:c r="I87" s="136" t="str">
        <x:v>Stage 6</x:v>
      </x:c>
      <x:c r="J87" s="136" t="str">
        <x:v>Backend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Private Cloudflare UUID uploads, response privacy verification, server-only 60-second signing and authorized no-store proxy delivery implemented. Mock provider covers upload/signing/read/delete/configuration and upstream failure. Local shared visibility browser cases pass. docs/PRIVATE_MEDIA.md records old custom-ID migration and variant restrictions. Cloudflare credentials are absent locally.</x:v>
      </x:c>
      <x:c r="O87" s="136" t="str">
        <x:v>Provide/configure Cloudflare account, token, signing key, hash and private variant; migrate any old public custom IDs and run live upload/read/delete/access acceptance.</x:v>
      </x:c>
    </x:row>
    <x:row r="88">
      <x:c r="A88" s="135" t="str">
        <x:v>JW-084</x:v>
      </x:c>
      <x:c r="B88" s="135" t="str">
        <x:v>Media &amp; Images</x:v>
      </x:c>
      <x:c r="C88" s="135" t="str">
        <x:v>S3-compatible provider</x:v>
      </x:c>
      <x:c r="D88" s="136" t="str">
        <x:v>R2/S3 storage option advertised in environment documentation</x:v>
      </x:c>
      <x:c r="E88" s="136" t="str">
        <x:v>Excluded / Change Request</x:v>
      </x:c>
      <x:c r="F88" s="136" t="str">
        <x:v>Out of Scope / Removed</x:v>
      </x:c>
      <x:c r="G88" s="137" t="n">
        <x:v>0</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S3/R2 option was removed from the environment template and unsupported providers fail explicitly. This excluded alternative contributes neither numerator nor denominator to overall completion.</x:v>
      </x:c>
      <x:c r="O88" s="136" t="str">
        <x:v>No V1 S3 implementation. Cloudflare provider work remains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0.8</x:v>
      </x:c>
      <x:c r="H89" s="136" t="str">
        <x:v>High</x:v>
      </x:c>
      <x:c r="I89" s="136" t="str">
        <x:v>Stage 6</x:v>
      </x:c>
      <x:c r="J89" s="136" t="str">
        <x:v>QA</x:v>
      </x:c>
      <x:c r="K89" s="136" t="str">
        <x:v>Production image provider</x:v>
      </x:c>
      <x:c r="L89" s="136" t="str">
        <x:v>Correct variants load with modern formats, dimensions and acceptable visual quality.</x:v>
      </x:c>
      <x:c r="M89" s="136" t="str">
        <x:v>LCP; mobile bandwidth; broken URLs; alt text</x:v>
      </x:c>
      <x:c r="N89" s="136" t="str">
        <x:v>Both providers deliver bounded WebP through the authorization endpoint; static assets retain Next optimization. Public provider/optimizer bypasses are removed. Cloudflare private variant and application bandwidth/processing need live measurement; no production media-performance claim.</x:v>
      </x:c>
      <x:c r="O89" s="136" t="str">
        <x:v>Measure real image dimensions, transfer size, LCP and proxy capacity on HTTPS staging; configure bounded private variants.</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0.95</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Cars, bikes and parts friendly error/clear-filter controls and post-restoration retry pass with real database-read fault injection. Fixed Try again retaining failed server data by refreshing before boundary reset. Three targeted browser cases pass on final build.</x:v>
      </x:c>
      <x:c r="O111" s="136" t="str">
        <x:v>Complete slow-network, provider-outage and real-device/loading acceptance.</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0.8</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Rollback-only 10,000-car query-plan sample identified and fixed newest-first index ordering. Final local sample: recent 0.077 ms via listings_recent_idx; city+price 0.103 ms; city count 1.033 ms. See docs/LOCAL_QUERY_PLAN_REPORT.md. Single-run core queries are not full browse/load acceptance.</x:v>
      </x:c>
      <x:c r="O112" s="136" t="str">
        <x:v>Repeat full browse joins, deep pagination and concurrent queries on representative staging data and hosting.</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Implemented with lead logging.</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Implemented transaction with failure isolation.</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Desktop/mobile car-linked inspection acceptance preserves listing reference across sign-in and stores the request/event; forged or unavailable IDs fail without creating a request.</x:v>
      </x:c>
      <x:c r="O121" s="136" t="str">
        <x:v>Retain passing linked-request tests; complete remaining service action negatives under JW-166.</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Product Owner</x:v>
      </x:c>
      <x:c r="K122" s="136" t="str">
        <x:v>Database</x:v>
      </x:c>
      <x:c r="L122" s="136" t="str">
        <x:v>Human views are counted consistently without blocking response or inflating from owner/bots beyond approved rules.</x:v>
      </x:c>
      <x:c r="M122" s="136" t="str">
        <x:v>Repeated/bot/owner; DB failure; concurrency</x:v>
      </x:c>
      <x:c r="N122" s="136" t="str">
        <x:v>Raw view counter remains a render counter including repeats/crawlers. docs/OPERATIONS.md explicitly excludes it from unique-visitor and conversion-rate claims.</x:v>
      </x:c>
      <x:c r="O122" s="136" t="str">
        <x:v>Define whether V1 needs unique human views and its privacy/identity policy before changing counting semantics.</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Launch Configuration Pending</x:v>
      </x:c>
      <x:c r="G133" s="137" t="n">
        <x:v>0.9</x:v>
      </x:c>
      <x:c r="H133" s="136" t="str">
        <x:v>High</x:v>
      </x:c>
      <x:c r="I133" s="136" t="str">
        <x:v>Stage 3</x:v>
      </x:c>
      <x:c r="J133" s="136" t="str">
        <x:v>Backend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Overflow matching, deduplication, concurrent delivery, immutable retry payload/key, eligibility changes and 23-hour retry-window suppression pass in DB acceptance. GitHub run 42 passed the complete acceptance pipeline on 254e171. Subsequent review fix persists random UUID provider keys to avoid staging/production collisions; targeted DB test, check, lint and build pass locally. No live email sent.</x:v>
      </x:c>
      <x:c r="O133" s="136" t="str">
        <x:v>Configure verified Resend sender and credentials, schedule queue/delivery, review initial backlog and complete controlled mailbox, outage and deliverability acceptance.</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Dealer registration and owner settings/logo are implemented. Desktop/mobile acceptance creates a dealer/dashboard and verifies account/dealer write limits. Duplicate-slug edge acceptance remains in T-031.</x:v>
      </x:c>
      <x:c r="O134" s="136" t="str">
        <x:v>Complete remaining registration edge cases and live provider acceptance.</x:v>
      </x:c>
    </x:row>
    <x:row r="135">
      <x:c r="A135" s="135" t="str">
        <x:v>JW-131</x:v>
      </x:c>
      <x:c r="B135" s="135" t="str">
        <x:v>Dealer Features</x:v>
      </x:c>
      <x:c r="C135" s="135" t="str">
        <x:v>Dealer public directory</x:v>
      </x:c>
      <x:c r="D135" s="136" t="str">
        <x:v>Group dealers by city with live inventory counts</x:v>
      </x:c>
      <x:c r="E135" s="136" t="str">
        <x:v>Signed V1</x:v>
      </x:c>
      <x:c r="F135" s="136" t="str">
        <x:v>Completed</x:v>
      </x:c>
      <x:c r="G135" s="137" t="n">
        <x:v>1</x:v>
      </x:c>
      <x:c r="H135" s="136" t="str">
        <x:v>High</x:v>
      </x:c>
      <x:c r="I135" s="136" t="str">
        <x:v>Stage 4</x:v>
      </x:c>
      <x:c r="J135" s="136" t="str">
        <x:v>QA</x:v>
      </x:c>
      <x:c r="K135" s="136" t="str">
        <x:v>Dealer data</x:v>
      </x:c>
      <x:c r="L135" s="136" t="str">
        <x:v>Page labeling matches whether it lists all or only verified dealers and counts are accurate.</x:v>
      </x:c>
      <x:c r="M135" s="136" t="str">
        <x:v>Verified/unverified; zero listings; pagination</x:v>
      </x:c>
      <x:c r="N135" s="136" t="str">
        <x:v>Desktop/mobile deterministic inventory acceptance passes: 26 active ads, 25+1 disjoint pages, total count independent of page size, stable ordering, invalid page fallback, inactive inventory denial and banned dealer exclusion. Fixed missing storefront pagination and truncated total.</x:v>
      </x:c>
      <x:c r="O135" s="136" t="str">
        <x:v>Include dealer inventory in routine release regression; live/device acceptance remains in launch QA.</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Storefront queries active listings across verticals and passes row.vertical to ListingCard, supporting cars, bikes and parts. Public route/accessibility checks pass; deterministic count and pagination acceptance remains in T-032.</x:v>
      </x:c>
      <x:c r="O136" s="136" t="str">
        <x:v>Verify mixed-vertical inventory/counts and pagination in T-032; no bike/parts extension is required.</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Admin controls implemented. Desktop/mobile browser tests confirm reasoned hide, reinstate and permanent removal with public visibility changes and audit entries; ban revokes sessions, restore permits login and both decisions append audit history.</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0.9</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docs/DEPLOYMENT.md now explicitly requires a reachable migrated isolated CI or staging/build database; clean migrations, seeds and production build pass. Demo seeds are forbidden against production. Sitemap remains dynamic.</x:v>
      </x:c>
      <x:c r="O165" s="136" t="str">
        <x:v>Configure the selected build/staging database and verify deployment-network access and sitemap origin.</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0.85</x:v>
      </x:c>
      <x:c r="H168" s="136" t="str">
        <x:v>High</x:v>
      </x:c>
      <x:c r="I168" s="136" t="str">
        <x:v>Stage 6</x:v>
      </x:c>
      <x:c r="J168" s="136" t="str">
        <x:v>QA</x:v>
      </x:c>
      <x:c r="K168" s="136" t="str">
        <x:v>Status lifecycle</x:v>
      </x:c>
      <x:c r="L168" s="136" t="str">
        <x:v>Sold pages follow approved retention policy; private/removed pages are not publicly exposed.</x:v>
      </x:c>
      <x:c r="M168" s="136" t="str">
        <x:v>All statuses; canonical; sitemap/search exclusion</x:v>
      </x:c>
      <x:c r="N168" s="136" t="str">
        <x:v>Reviewed estimate 85%: docs/PROJECT.md and shared visibility policy define active-only public details; inactive owner/admin views are noindexed. Static policy checks and public pending/removed browser denial pass. Media GET/HEAD checks now cover every inactive status. Full listing lifecycle/crawler deployment acceptance remains.</x:v>
      </x:c>
      <x:c r="O168" s="136" t="str">
        <x:v>Test sold/expired detail, search and sitemap transitions end to end on staging; preserve the documented active-only public policy.</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0.96</x:v>
      </x:c>
      <x:c r="H170" s="136" t="str">
        <x:v>Critical</x:v>
      </x:c>
      <x:c r="I170" s="136" t="str">
        <x:v>Stage 1</x:v>
      </x:c>
      <x:c r="J170" s="136" t="str">
        <x:v>QA</x:v>
      </x:c>
      <x:c r="K170" s="136" t="str">
        <x:v>All CRUD actions</x:v>
      </x:c>
      <x:c r="L170" s="136" t="str">
        <x:v>Every mutation and private resource has explicit server-side authorization tests.</x:v>
      </x:c>
      <x:c r="M170" s="136" t="str">
        <x:v>IDOR; direct action calls; cross-user access</x:v>
      </x:c>
      <x:c r="N170" s="136" t="str">
        <x:v>Local photo/action coverage includes direct dealer verify/revoke and inspection/assistance update replay: non-admin/anonymous actors cannot mutate records/audits; owners also cannot perform service-admin changes. Identical administrator payload succeeds. Customer records/private notes remain isolated. Prior owner listing/media regressions pass.</x:v>
      </x:c>
      <x:c r="O170" s="136" t="str">
        <x:v>Complete remaining action/edge/concurrency matrix and provider/infrastructure security review; Cloudflare private delivery remains in JW-083.</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0.97</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Audited user-input Zod constraints across car, bike, parts, inspection, assistance, dealer, account and saved-search actions. Missing integer, bound and enum messages now explain corrections; malformed city/variant IDs have regression checks. Full check, lint, production build and 97-route local sweep pass.</x:v>
      </x:c>
      <x:c r="O171" s="136" t="str">
        <x:v>Complete direct server-action tampering/browser negative matrix for auth, edits, deletes and admin permissions in JW-166/JW-177.</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0.98</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PostgreSQL limits now cover authentication, OAuth start, uploads, contact, reports, manual-service requests, ad publication, account profile/password/avatar and dealer registration/profile/logo. Fresh desktop/mobile browser tests verify denied account/dealer writes preserve database state; atomic concurrency DB test passes.</x:v>
      </x:c>
      <x:c r="O172" s="136" t="str">
        <x:v>Validate trusted proxy IP headers, thresholds, expiry recovery and security alerts in staging; review remaining remove and administrator write actions.</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0.75</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Privacy Policy is live and linked. A final provider/data-retention review and any required consent UI remain for launch hardening.</x:v>
      </x:c>
      <x:c r="O174" s="136" t="str">
        <x:v>Validate final provider disclosures and consent requirements before production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Partially Implemented</x:v>
      </x:c>
      <x:c r="G175" s="137" t="n">
        <x:v>0.35</x:v>
      </x:c>
      <x:c r="H175" s="136" t="str">
        <x:v>High</x:v>
      </x:c>
      <x:c r="I175" s="136" t="str">
        <x:v>Stage 6</x:v>
      </x:c>
      <x:c r="J175" s="136" t="str">
        <x:v>Product Owner / DevOps</x:v>
      </x:c>
      <x:c r="K175" s="136" t="str">
        <x:v>Privacy policy and operations</x:v>
      </x:c>
      <x:c r="L175" s="136" t="str">
        <x:v>Retention schedule and deletion workflows are documented and executable.</x:v>
      </x:c>
      <x:c r="M175" s="136" t="str">
        <x:v>Retention job; account deletion; backup implications</x:v>
      </x:c>
      <x:c r="N175" s="136" t="str">
        <x:v>Existing session/token/rate-bucket/orphan cleanup remains. Added a read-only retention inventory with aggregate counts/oldest dates and explicit account/report/service/audit/alert/backup policy decisions in docs/RETENTION_DECISIONS.md. Inventory ran on isolated DB; no customer records exported/deleted.</x:v>
      </x:c>
      <x:c r="O175" s="136" t="str">
        <x:v>Approve retention periods, legal holds, anonymization and backup replay rules before destructive lifecycle tooling.</x:v>
      </x:c>
    </x:row>
    <x:row r="176">
      <x:c r="A176" s="135" t="str">
        <x:v>JW-172</x:v>
      </x:c>
      <x:c r="B176" s="135" t="str">
        <x:v>Security &amp; Privacy</x:v>
      </x:c>
      <x:c r="C176" s="135" t="str">
        <x:v>Security review</x:v>
      </x:c>
      <x:c r="D176" s="136" t="str">
        <x:v>Pre-launch application and infrastructure assessment</x:v>
      </x:c>
      <x:c r="E176" s="136" t="str">
        <x:v>Signed V1</x:v>
      </x:c>
      <x:c r="F176" s="136" t="str">
        <x:v>Partially Implemented</x:v>
      </x:c>
      <x:c r="G176" s="137" t="n">
        <x:v>0.55</x:v>
      </x:c>
      <x:c r="H176" s="136" t="str">
        <x:v>Critical</x:v>
      </x:c>
      <x:c r="I176" s="136" t="str">
        <x:v>Stage 6</x:v>
      </x:c>
      <x:c r="J176" s="136" t="str">
        <x:v>QA</x:v>
      </x:c>
      <x:c r="K176" s="136" t="str">
        <x:v>Feature-complete staging</x:v>
      </x:c>
      <x:c r="L176" s="136" t="str">
        <x:v>No unresolved critical/high issue remains; remediation is regression-tested.</x:v>
      </x:c>
      <x:c r="M176" s="136" t="str">
        <x:v>OWASP review; dependency; auth; IDOR; upload; headers</x:v>
      </x:c>
      <x:c r="N176" s="136" t="str">
        <x:v>Private provider signing/configuration failures now have mock coverage; cron prototype-name routing is rejected and cron errors no longer expose exception text. Readiness failures are generic; runtime validation redacts values. Alert eligibility/lease/retry controls pass DB tests. Infrastructure/provider and formal review remain open.</x:v>
      </x:c>
      <x:c r="O176" s="136" t="str">
        <x:v>Review final PR and live provider/proxy/storage/log configuration; close high/critical launch findings.</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0.99</x:v>
      </x:c>
      <x:c r="H181" s="136" t="str">
        <x:v>Critical</x:v>
      </x:c>
      <x:c r="I181" s="136" t="str">
        <x:v>Stage 6</x:v>
      </x:c>
      <x:c r="J181" s="136" t="str">
        <x:v>QA</x:v>
      </x:c>
      <x:c r="K181" s="136" t="str">
        <x:v>E2E framework</x:v>
      </x:c>
      <x:c r="L181" s="136" t="str">
        <x:v>Critical launch journeys run automatically and pass.</x:v>
      </x:c>
      <x:c r="M181" s="136" t="str">
        <x:v>Happy/negative/authz/mobile</x:v>
      </x:c>
      <x:c r="N181" s="136" t="str">
        <x:v>Clean GitHub run 42 on 254e171 passed full browser acceptance, DB tests and route sweep, plus audit/check/lint/build. This supersedes the earlier locally resource-limited combined run. Local targeted alert UUID retry regression also passes; real-provider/device and production load acceptance remain open.</x:v>
      </x:c>
      <x:c r="O181" s="136" t="str">
        <x:v>Current-head clean CI and final provider/real-device/staging acceptance govern sign-off.</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Simulated Android Chromium covers core seller, dealer, buyer and admin journeys. Added iPhone 13 WebKit smoke checks for mobile navigation, auto-parts search, responsive width, sign-in and car-photo upload; both pass in fresh isolated acceptance. Local HTTP production-mode WebKit needs a test-only session-cookie injection because Secure cookies require HTTPS. CI now installs WebKit alongside Chromium.</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0.95</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Existing 34-route axe coverage is supplemented by 200% text sizing at tablet width across six routes and reduced-motion checks. Header/footer overflow found and fixed; desktop/mobile projects pass.</x:v>
      </x:c>
      <x:c r="O183" s="136" t="str">
        <x:v>Manual screen-reader, real-device and browser zoom acceptance remain for launch.</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0.95</x:v>
      </x:c>
      <x:c r="H184" s="136" t="str">
        <x:v>High</x:v>
      </x:c>
      <x:c r="I184" s="136" t="str">
        <x:v>Stage 6</x:v>
      </x:c>
      <x:c r="J184" s="136" t="str">
        <x:v>QA</x:v>
      </x:c>
      <x:c r="K184" s="136" t="str">
        <x:v>Production-like media/data</x:v>
      </x:c>
      <x:c r="L184" s="136" t="str">
        <x:v>Public routes meet JS budget and agreed LCP/CLS/INP targets on mobile.</x:v>
      </x:c>
      <x:c r="M184" s="136" t="str">
        <x:v>Bundle report; Lighthouse; 4G profile</x:v>
      </x:c>
      <x:c r="N184" s="136" t="str">
        <x:v>Production build remains under the 150 KB JS budget (maximum 128 KB). Local 100-request concurrency-five smoke: zero failures, p50 253 ms, p95 517 ms, max 839 ms. 10,000-row query sample verifies the newest-first index. Reports clearly distinguish local samples from production acceptance.</x:v>
      </x:c>
      <x:c r="O184" s="136" t="str">
        <x:v>Measure real media/Web Vitals and representative staging capacity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Partially Implemented</x:v>
      </x:c>
      <x:c r="G185" s="137" t="n">
        <x:v>0.25</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Added repeatable loopback-only 100-request concurrency-five HTTP load smoke; zero failures. Synthetic 10,000-row query fixtures roll back. These are local baselines, not the required 500-user ramp/soak.</x:v>
      </x:c>
      <x:c r="O185" s="136" t="str">
        <x:v>Run representative 500-user ramp/soak with monitoring on the selected staging infrastructure.</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docs/REGRESSION_CHECKLIST.md now defines a reusable release-candidate record, automated gate, module-by-module manual steps linked to Test Matrix IDs, expected evidence, defect retest and merge sign-off rules. Deployment guide links to it. Local automation is current, but live staging/provider/real-device evidence and reviewer signatures are not yet available.</x:v>
      </x:c>
      <x:c r="O186" s="136" t="str">
        <x:v>Fill the checklist and Test Matrix with candidate-specific staging, Safari/real-device, provider and infrastructure evidence; obtain PR reviewer sign-off before merge.</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No production deployment is documented as complete.</x:v>
      </x:c>
      <x:c r="O194" s="136" t="str">
        <x:v>Select and configure hosting.</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DevOps</x:v>
      </x:c>
      <x:c r="K196" s="136" t="str">
        <x:v>Cloudflare or implemented provider</x:v>
      </x:c>
      <x:c r="L196" s="136" t="str">
        <x:v>Uploads survive deployments and load through correct public URLs.</x:v>
      </x:c>
      <x:c r="M196" s="136" t="str">
        <x:v>Upload/display/delete; cache; failure</x:v>
      </x:c>
      <x:c r="N196" s="136" t="str">
        <x:v>Private Cloudflare delivery code and mock-provider checks are implemented under JW-083. No account/token/signing key/hash/variant is configured locally; durable staging/production storage and old-object migration are unverified.</x:v>
      </x:c>
      <x:c r="O196" s="136" t="str">
        <x:v>Configure Cloudflare and verify private media lifecycle and persistence across deployment/restart.</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Domain exists, but application production deployment is not verified.</x:v>
      </x:c>
      <x:c r="O197" s="136" t="str">
        <x:v>Configure after hosting selection.</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Partially Implemented</x:v>
      </x:c>
      <x:c r="G199" s="137" t="n">
        <x:v>0.6</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Next request-error hook emits structured timestamp/method/route-template/category events without request bodies, query strings, cookies or exception messages. Operator runbook documents host collection, access controls and review of separate framework/provider logs.</x:v>
      </x:c>
      <x:c r="O199" s="136" t="str">
        <x:v>Configure hosted log retention, aggregation and actionable error alerts; test an end-to-end staging alert.</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Partially Implemented</x:v>
      </x:c>
      <x:c r="G200" s="137" t="n">
        <x:v>0.4</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Added uncached/noindex /api/health readiness endpoint with DB check and generic 503 failures; success/failure redaction unit checks and desktop/mobile HTTP checks pass.</x:v>
      </x:c>
      <x:c r="O200" s="136" t="str">
        <x:v>Attach the selected external uptime monitor to HTTPS staging/production and verify notifications.</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0.6</x:v>
      </x:c>
      <x:c r="H202" s="136" t="str">
        <x:v>Medium</x:v>
      </x:c>
      <x:c r="I202" s="136" t="str">
        <x:v>Stage 6</x:v>
      </x:c>
      <x:c r="J202" s="136" t="str">
        <x:v>Product Owner / DevOps</x:v>
      </x:c>
      <x:c r="K202" s="136" t="str">
        <x:v>Analytics decision/privacy policy</x:v>
      </x:c>
      <x:c r="L202" s="136" t="str">
        <x:v>Page traffic and lead conversions are measurable without claiming advanced BI.</x:v>
      </x:c>
      <x:c r="M202" s="136" t="str">
        <x:v>Event accuracy; consent; duplicate events</x:v>
      </x:c>
      <x:c r="N202" s="136" t="str">
        <x:v>docs/OPERATIONS.md defines basic V1 database measures, raw-view limitations and alert acceptance semantics. No external tracker or new analytics identifiers introduced; advanced analytics remains out of scope.</x:v>
      </x:c>
      <x:c r="O202" s="136" t="str">
        <x:v>Approve unique-visitor/consent requirements if needed and configure the chosen operational measurement/reporting process.</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Privacy-safe map storage and approximate public output are merged on main. Regression checks passed 30 Sep. Google Maps configuration exists locally; billing and live browser acceptance remain unresolved.</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7cd68bf20cdd4c96"/>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Verified development is committed, pushed and recorded automatically under owner authorization. PR review and main merge remain separate. Local browser/DB acceptance runs alongside packages; live/real-device launch acceptance remains open.</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Saved-search management plus bounded overflow-safe matching and leased immutable email delivery, retries and eligibility controls implemented and DB-tested with mock sends; provider/scheduler/mailbox acceptance remain.</x:v>
      </x:c>
      <x:c r="F17" s="141" t="str">
        <x:v>Automated matching/overflow/deduplication and delivered-email acceptance pass with configured provider/scheduler.</x:v>
      </x:c>
      <x:c r="G17" s="141" t="str">
        <x:v>In Progress</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codex/launch-quality-system</x:v>
      </x:c>
      <x:c r="E23" s="141" t="str">
        <x:v>PR #6 / a96704b: CI run 37 passes, 93 local browser cases and 5 DB checks. Persistent staging, monitoring and required-check enforcement remain open.</x:v>
      </x:c>
      <x:c r="F23" s="141" t="str">
        <x:v>Deliberate failure blocks merge; staging smoke passes.</x:v>
      </x:c>
      <x:c r="G23" s="141" t="str">
        <x:v>In Progress</x:v>
      </x:c>
    </x:row>
    <x:row r="24">
      <x:c r="A24" s="88" t="str">
        <x:v>6.3</x:v>
      </x:c>
      <x:c r="B24" s="88" t="str">
        <x:v>Stage 6</x:v>
      </x:c>
      <x:c r="C24" s="141" t="str">
        <x:v>Production infrastructure and hardening</x:v>
      </x:c>
      <x:c r="D24" s="141" t="str">
        <x:v>codex/production-readiness (planned)</x:v>
      </x:c>
      <x:c r="E24" s="141" t="str">
        <x:v>Private-media code, delivery worker, deployment validation, readiness/error events, retention inventory and local query/load baselines implemented. Live hosting/DB/media/mail/backups/cron/monitoring and final security/load acceptance remain.</x:v>
      </x:c>
      <x:c r="F24" s="141" t="str">
        <x:v>Formal launch checklist has no open critical/high issue.</x:v>
      </x:c>
      <x:c r="G24" s="141" t="str">
        <x:v>In Progress</x:v>
      </x:c>
    </x:row>
  </x:sheetData>
  <x:mergeCells>
    <x:mergeCell ref="A1:G1"/>
    <x:mergeCell ref="A2:G2"/>
  </x:mergeCells>
  <x:pageMargins left="0.7" right="0.7" top="0.75" bottom="0.75" header="0.3" footer="0.3"/>
  <x:tableParts count="1">
    <x:tablePart xmlns:r="http://schemas.openxmlformats.org/officeDocument/2006/relationships" r:id="Rfa78f65d738c41da"/>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Manual only</x:v>
      </x:c>
      <x:c r="F8" s="141" t="str">
        <x:v>Pending automation</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Desktop/mobile direct listing actions plus local image GET/HEAD checks for pending, active and all inactive statuses; owner/admin success, foreign/anonymous denial and optimizer rejection</x:v>
      </x:c>
      <x:c r="F10" s="141" t="str">
        <x:v>Local pass: private reads denied, active photos public, owner edit preview loads, no-store headers verified. Cloudflare private delivery remains pending.</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Automated checks plus desktop/mobile Chromium owner car edit with DB price/status assertion</x:v>
      </x:c>
      <x:c r="F16" s="141" t="str">
        <x:v>Passed owner price edit; facet and slug resync remain covered by feature checks</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Automated checks plus desktop/mobile Chromium bike deletion with DB, public URL and photo assertions</x:v>
      </x:c>
      <x:c r="F17" s="141" t="str">
        <x:v>Passed: row soft-deleted, photo links removed, public listing and stored image unavailable</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Desktop/mobile expiry cron, due/future fixtures, direct reactivation replay and owner positive control</x:v>
      </x:c>
      <x:c r="F18" s="141" t="str">
        <x:v>Local pass: cron auth, expiry selection, owner-only fresh 30-day window and active/rejected/removed no-op checked; complete live search/contact/SEO lifecycle and scheduler remain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upload WebP, owner-only pending GET/HEAD, foreign-Origin 403 and request-bucket 429; source size/count/quota guards</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Automated check:uploads decodes/re-encodes valid images, rejects magic-byte-only fake and unsafe keys, preserves safe legacy conversion</x:v>
      </x:c>
      <x:c r="F21" s="141" t="str">
        <x:v>Partial pass: fake image/key rejection and WebP conversion verified; comprehensive oversized, SVG/executable/polyglot HTTP matrix remains</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Real database rollback and desktop/mobile captured publish/edit HTTP requests replayed with another user's unclaimed key, followed by valid-owner positive controls</x:v>
      </x:c>
      <x:c r="F22" s="141" t="str">
        <x:v>Local pass: foreign publish creates no listing or claim; foreign edit preserves listing images; original owner payload succeeds. Production/provider acceptance remains.</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SEO only partial</x:v>
      </x:c>
      <x:c r="F23" s="141" t="str">
        <x:v>Pending automation</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SEO only partial</x:v>
      </x:c>
      <x:c r="F24" s="141" t="str">
        <x:v>Pending automation</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Route sweep partial</x:v>
      </x:c>
      <x:c r="F26" s="141" t="str">
        <x:v>Pending automation</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SEO checks plus Playwright unknown facet 404</x:v>
      </x:c>
      <x:c r="F27" s="141" t="str">
        <x:v>Partial pass: unknown 404; reordered URL browser check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Route sweep partial</x:v>
      </x:c>
      <x:c r="F28" s="141" t="str">
        <x:v>Pending deep checks</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Desktop/mobile buyer reveal plus database lead count</x:v>
      </x:c>
      <x:c r="F29" s="141" t="str">
        <x:v>Passed active phone reveal and lead log; inactive rejection remains open</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Saved-search UI/static checks plus matching cron and unique outbox in source; no email delivery worker exists</x:v>
      </x:c>
      <x:c r="F34" s="141" t="str">
        <x:v>Partial implementation only: full match/overflow/dedupe/retry and delivered-email acceptance pending</x:v>
      </x:c>
      <x:c r="G34" s="141" t="str">
        <x:v>Implement delivery worker and configure email provider/scheduler</x:v>
      </x:c>
      <x:c r="H34" s="141" t="str">
        <x:v>Exact filters, no duplicate alerts</x:v>
      </x:c>
    </x:row>
    <x:row r="35">
      <x:c r="A35" s="88" t="str">
        <x:v>T-031</x:v>
      </x:c>
      <x:c r="B35" s="88" t="str">
        <x:v>Dealer</x:v>
      </x:c>
      <x:c r="C35" s="141" t="str">
        <x:v>Register dealer and unique slug</x:v>
      </x:c>
      <x:c r="D35" s="141" t="str">
        <x:v>Integration + E2E</x:v>
      </x:c>
      <x:c r="E35" s="141" t="str">
        <x:v>Playwright desktop/mobile dealer registration</x:v>
      </x:c>
      <x:c r="F35" s="141" t="str">
        <x:v>Partial pass: new dealer dashboard and pending badge; duplicate slug case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Desktop/mobile deterministic dealer fixture with 26 active and four inactive listings; pagination, counts, invalid page and banned owner checks</x:v>
      </x:c>
      <x:c r="F36" s="141" t="str">
        <x:v>Passed local: correct 26 total, disjoint 25+1 pages, inactive detail 404 and banned storefront/directory exclusion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Desktop/mobile verification/revocation public-badge/audit flow plus direct seller/anonymous replay with identical administrator controls</x:v>
      </x:c>
      <x:c r="F37" s="141" t="str">
        <x:v>Local pass: unauthorized verify/revoke leaves dealer and audit unchanged; admin decisions succeed with exactly one audit each</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creation/customer history plus direct administration replay by owner, foreign seller and anonymous visitor; admin positive control and unchanged DB/audit checks</x:v>
      </x:c>
      <x:c r="F39"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creation/customer history plus direct administration replay by owner, foreign seller and anonymous visitor; admin positive control and unchanged DB/audit checks</x:v>
      </x:c>
      <x:c r="F40"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admin mutation success plus direct flag/remove replay by seller and anonymous visitor; database and audit assertions</x:v>
      </x:c>
      <x:c r="F43" s="141" t="str">
        <x:v>Local pass: unauthorized requests redirect without listing/audit changes; identical administrator requests hide/remove and append audit entries. Live acceptance remains.</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Desktop/mobile ban/unban/session-revocation flow plus direct ban replay denied to seller/anonymous visitors with admin success control</x:v>
      </x:c>
      <x:c r="F44" s="141" t="str">
        <x:v>Local pass: unauthorized ban leaves account/audit unchanged; admin ban succeeds and is audited. Live acceptance remains.</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Owner-approved homepage merged in PR #5; PR #6 local acceptance</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Local authorization replay, upload/content/origin/rate-limit/private-read regressions and CI dependency audit</x:v>
      </x:c>
      <x:c r="F52" s="141" t="str">
        <x:v>Partial pass locally; formal infrastructure review, remaining action negatives and Cloudflare private delivery open</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Local bounded smoke and rollback-only query-plan fixtures implemented; 500-user staging ramp/soak not run</x:v>
      </x:c>
      <x:c r="F54" s="141" t="str">
        <x:v>Partial: 100 requests at concurrency five, zero failures; staging 500-user capacity remains open</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Clean isolated migrations/seeding, seven DB checks and current local production build</x:v>
      </x:c>
      <x:c r="F55" s="141" t="str">
        <x:v>Local migrations and seven DB acceptance tests pass; clean GitHub run 42 on 254e171 also passed migration, seed and DB acceptance. Production database deployment and rollback rehearsal remain open.</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Not run</x:v>
      </x:c>
      <x:c r="F56" s="141" t="str">
        <x:v>Pre-launch</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Local orphan-purge and expiry cron authentication; due/future expiry selection and owner reactivation browser/DB acceptance</x:v>
      </x:c>
      <x:c r="F57" s="141" t="str">
        <x:v>Local cleanup/expiry checks pass; production scheduling, monitoring and saved-alert edge cases remain</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9b8f001ac6e34bc3"/>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Google-first and verified-email authentication with secure email reset; SMS OTP remains excluded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4e8775fb475c4709"/>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