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d4afad986c46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53f7a51fb1a42ff"/>
    <x:sheet xmlns:r="http://schemas.openxmlformats.org/officeDocument/2006/relationships" name="Governance &amp; Usage" sheetId="2" r:id="Rb703f89019e14b33"/>
    <x:sheet xmlns:r="http://schemas.openxmlformats.org/officeDocument/2006/relationships" name="Feature Tracker" sheetId="3" r:id="R70f0a8019ee44d96"/>
    <x:sheet xmlns:r="http://schemas.openxmlformats.org/officeDocument/2006/relationships" name="Development Roadmap" sheetId="4" r:id="R642dbf5a02244e88"/>
    <x:sheet xmlns:r="http://schemas.openxmlformats.org/officeDocument/2006/relationships" name="Test Matrix" sheetId="5" r:id="Rfe2ab65fb2304eb8"/>
    <x:sheet xmlns:r="http://schemas.openxmlformats.org/officeDocument/2006/relationships" name="Scope Guardrails" sheetId="6" r:id="R2a8d5d198f4e4c1d"/>
    <x:sheet xmlns:r="http://schemas.openxmlformats.org/officeDocument/2006/relationships" name="Lists" sheetId="7" r:id="R7ab7228c93f342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a60acd30fb4dd1" /><Relationship Type="http://schemas.openxmlformats.org/officeDocument/2006/relationships/theme" Target="/xl/theme/theme1.xml" Id="Re24f6b1c02504286" /><Relationship Type="http://schemas.openxmlformats.org/officeDocument/2006/relationships/sharedStrings" Target="/xl/sharedStrings.xml" Id="R54420423be1d4e24" /><Relationship Type="http://schemas.openxmlformats.org/officeDocument/2006/relationships/worksheet" Target="/xl/worksheets/sheet1.xml" Id="Rf53f7a51fb1a42ff" /><Relationship Type="http://schemas.openxmlformats.org/officeDocument/2006/relationships/worksheet" Target="/xl/worksheets/sheet2.xml" Id="Rb703f89019e14b33" /><Relationship Type="http://schemas.openxmlformats.org/officeDocument/2006/relationships/worksheet" Target="/xl/worksheets/sheet3.xml" Id="R70f0a8019ee44d96" /><Relationship Type="http://schemas.openxmlformats.org/officeDocument/2006/relationships/worksheet" Target="/xl/worksheets/sheet4.xml" Id="R642dbf5a02244e88" /><Relationship Type="http://schemas.openxmlformats.org/officeDocument/2006/relationships/worksheet" Target="/xl/worksheets/sheet5.xml" Id="Rfe2ab65fb2304eb8" /><Relationship Type="http://schemas.openxmlformats.org/officeDocument/2006/relationships/worksheet" Target="/xl/worksheets/sheet6.xml" Id="R2a8d5d198f4e4c1d" /><Relationship Type="http://schemas.openxmlformats.org/officeDocument/2006/relationships/worksheet" Target="/xl/worksheets/sheet7.xml" Id="R7ab7228c93f342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af6efd060314d3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f6efd060314d3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c2ab15f7f6e4a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80f27acab39b4be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0dd0f7cf6374f7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a3962b691ba49c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afb88f1dfdb447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31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16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0.8839303482587066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31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16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fresh isolated DB, 99-route sweep 0 issues, 69 Chromium tests pass (1 planned skip). Automated axe-core scan covers 16 public/seller routes on desktop/mobile; manual and live staging acceptance remain open.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9c2ab15f7f6e4a9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repeatable isolated DB, 69 Chromium passes, 1 planned skip and 99-route sweep 0 issues. Public/seller accessibility scan has no axe violations across 16 routes in desktop/mobile. Online staging, provider configuration, proxy validation, cron schedule, branch protection, manual accessibility and live acceptance remain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Fresh isolated PostgreSQL acceptance: 4 DB checks and 69 desktop/mobile Chromium cases pass, with 1 planned viewport skip. 99-route sweep has 0 issues. Public and seller accessibility scan covers 16 routes in both viewports; live/manual acceptance remains open.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0.9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Automated axe-core audit now covers 10 public and 6 signed-in seller routes on desktop and mobile with no violations. Form/file labels, map region semantics, sort control name and low-contrast text were corrected; keyboard skip link passes. Homepage visual approval remains recorded.</x:v>
      </x:c>
      <x:c r="O38" s="136" t="str">
        <x:v>Complete manual screen-reader and real-device keyboard/reduced-motion review, then extend automated audit to dealer and administrator journeys.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0.97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PostgreSQL-backed atomic limits cover sign-in, registration, reset and verification actions; Google sign-in start now limits configured IP requests. Successful sign-in clears the account attempt bucket. Concurrent DB and desktop/mobile browser retry tests pass.</x:v>
      </x:c>
      <x:c r="O49" s="136" t="str">
        <x:v>Verify Google provider path, trusted proxy IP headers, thresholds and alerting in staging.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Partially Implemented</x:v>
      </x:c>
      <x:c r="G85" s="137" t="n">
        <x:v>0.9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Protected 24-hour orphan purge now locks unclaimed upload rows, deletes each stored object before its database row, retries failed storage deletions, and preserves claimed listing media. Desktop/mobile Chromium and isolated PostgreSQL acceptance pass.</x:v>
      </x:c>
      <x:c r="O85" s="136" t="str">
        <x:v>Configure and monitor the production cron schedule under JW-197; verify live storage-provider cleanup in staging.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0.9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Cars, bikes and parts browsing now have accessible loading skeletons scoped after URL validation, plus route-level recoverable error screens with retry and clear-filters actions. Actionable no-results state was already present; invalid URL 404 and canonical redirects remain protected.</x:v>
      </x:c>
      <x:c r="O111" s="136" t="str">
        <x:v>Exercise the error boundary with a controlled backend failure in isolated browser acceptance, then verify slow-network loading and retry on live devices.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Standalone and linked inspection requests, customer updates and append-only events pass desktop/mobile browser and isolated DB acceptance. A daily per-account/source request limit now blocks excess submissions without a row.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Structured Sell My Car Assistance request, linked listing and customer-visible follow-up pass desktop/mobile browser and isolated DB acceptance. A daily per-account/source limit now blocks excess submissions without a row.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 policy now gives VERCEL_ENV precedence over NODE_ENV, so preview/development builds remain blocked even when built with NODE_ENV=production. Five environment-policy assertions pass; local 97-route sweep found 0 issues.</x:v>
      </x:c>
      <x:c r="O166" s="136" t="str">
        <x:v>Verify robots.txt and canonical host on the selected production and staging deployments.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Current detail-route guard serves inactive listings only to the owner or admin. Browser acceptance confirms pending-review and removed ads return public 404; metadata noindexes non-active views.</x:v>
      </x:c>
      <x:c r="O168" s="136" t="str">
        <x:v>Confirm sold and expired buyer experience with product policy, and run staging crawler acceptance.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0.97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Audited user-input Zod constraints across car, bike, parts, inspection, assistance, dealer, account and saved-search actions. Missing integer, bound and enum messages now explain corrections; malformed city/variant IDs have regression checks. Full check, lint, production build and 97-route local sweep pass.</x:v>
      </x:c>
      <x:c r="O171" s="136" t="str">
        <x:v>Complete direct server-action tampering/browser negative matrix for auth, edits, deletes and admin permissions in JW-166/JW-177.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Partially Implemented</x:v>
      </x:c>
      <x:c r="G172" s="137" t="n">
        <x:v>0.95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Shared PostgreSQL limits cover authentication, OAuth start, uploads, contact, reports, inspection, Sell My Car Assistance and all three listing publication flows. Desktop/mobile car browser tests confirm denied ad creates no listing, then normal publication recovers; fresh 63-pass acceptance and 99-route sweep pass.</x:v>
      </x:c>
      <x:c r="O172" s="136" t="str">
        <x:v>Validate trusted proxy IP headers, thresholds, expiry recovery and security alerts in staging; review remaining account/dealer write actions.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Fresh isolated PostgreSQL acceptance: 4 DB checks, 69 desktop/mobile Chromium passes and 1 planned skip. 99-route sweep has 0 issues; automated accessibility coverage now spans 16 public/seller routes in both viewports.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Partially Implemented</x:v>
      </x:c>
      <x:c r="G183" s="137" t="n">
        <x:v>0.75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Automated axe-core checks cover 16 public/seller routes across desktop and mobile, plus keyboard skip-link acceptance. Identified contrast, form-label and map-region issues were fixed. Production build remains below the 150 KB first-load JS cap.</x:v>
      </x:c>
      <x:c r="O183" s="136" t="str">
        <x:v>Audit dealer/admin and listing-detail journeys; complete manual screen-reader, keyboard, reduced-motion and real-device acceptance.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purge-expired endpoint now has browser/DB acceptance for orphan media cleanup. Production schedule, credentials, monitoring and alerting remain unconfigured.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f27acab39b4be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0dd0f7cf6374f7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valid/invalid/banned/unverified login, DB sessions and repeated-failure retry limit; atomic DB concurrency check</x:v>
      </x:c>
      <x:c r="F7" s="141" t="str">
        <x:v>Passed: only valid active users get sessions; repeated failures show a 15-minute retry limit in both viewports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upload/public WebP URL, foreign-Origin 403 and request-bucket 429 before file read</x:v>
      </x:c>
      <x:c r="F20" s="141" t="str">
        <x:v>Partial pass: valid image and request limit enforced; individual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anonymous/auth reports, duplicate cookie/account checks, rate-limit denial and DB assertions</x:v>
      </x:c>
      <x:c r="F41" s="141" t="str">
        <x:v>Partial pass: duplicates and excess report writes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Automated axe-core audit on 16 public/seller routes in desktop and mobile Chromium; keyboard skip-link test</x:v>
      </x:c>
      <x:c r="F47" s="141" t="str">
        <x:v>Partial pass: automated scan has no violations after contrast, label and map fixes; manual screen-reader, zoom, reduced-motion and real-device review open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Atomic PostgreSQL bucket check plus desktop/mobile sign-in, upload, contact, report, inspection, assistance and car-publication denial</x:v>
      </x:c>
      <x:c r="F51" s="141" t="str">
        <x:v>Partial pass: limits block excess writes; denied car publication inserts no listing and recovers. Staging proxy and expiry acceptance open.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1a3962b691ba49c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afb88f1dfdb447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