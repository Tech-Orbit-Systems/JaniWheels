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5aa123c71124683" /></Relationships>
</file>

<file path=xl/workbook.xml><?xml version="1.0" encoding="utf-8"?>
<x:workbook xmlns:x="http://schemas.openxmlformats.org/spreadsheetml/2006/main">
  <x:sheets>
    <x:sheet xmlns:r="http://schemas.openxmlformats.org/officeDocument/2006/relationships" name="Dashboard" sheetId="1" r:id="R19adabaf842e46b3"/>
    <x:sheet xmlns:r="http://schemas.openxmlformats.org/officeDocument/2006/relationships" name="Governance &amp; Usage" sheetId="2" r:id="R48f51482978c40f4"/>
    <x:sheet xmlns:r="http://schemas.openxmlformats.org/officeDocument/2006/relationships" name="Feature Tracker" sheetId="3" r:id="Rbaea67dc94e046be"/>
    <x:sheet xmlns:r="http://schemas.openxmlformats.org/officeDocument/2006/relationships" name="Development Roadmap" sheetId="4" r:id="R420894db814c45c2"/>
    <x:sheet xmlns:r="http://schemas.openxmlformats.org/officeDocument/2006/relationships" name="Test Matrix" sheetId="5" r:id="R9612a07a587b4093"/>
    <x:sheet xmlns:r="http://schemas.openxmlformats.org/officeDocument/2006/relationships" name="Scope Guardrails" sheetId="6" r:id="Rf4c45e679b8244d8"/>
    <x:sheet xmlns:r="http://schemas.openxmlformats.org/officeDocument/2006/relationships" name="Lists" sheetId="7" r:id="Re1e7b0af6c22465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6aae7ee18c44ade" /><Relationship Type="http://schemas.openxmlformats.org/officeDocument/2006/relationships/theme" Target="/xl/theme/theme1.xml" Id="R7fed692bc6994325" /><Relationship Type="http://schemas.openxmlformats.org/officeDocument/2006/relationships/sharedStrings" Target="/xl/sharedStrings.xml" Id="R4b40147b7b944377" /><Relationship Type="http://schemas.openxmlformats.org/officeDocument/2006/relationships/worksheet" Target="/xl/worksheets/sheet1.xml" Id="R19adabaf842e46b3" /><Relationship Type="http://schemas.openxmlformats.org/officeDocument/2006/relationships/worksheet" Target="/xl/worksheets/sheet2.xml" Id="R48f51482978c40f4" /><Relationship Type="http://schemas.openxmlformats.org/officeDocument/2006/relationships/worksheet" Target="/xl/worksheets/sheet3.xml" Id="Rbaea67dc94e046be" /><Relationship Type="http://schemas.openxmlformats.org/officeDocument/2006/relationships/worksheet" Target="/xl/worksheets/sheet4.xml" Id="R420894db814c45c2" /><Relationship Type="http://schemas.openxmlformats.org/officeDocument/2006/relationships/worksheet" Target="/xl/worksheets/sheet5.xml" Id="R9612a07a587b4093" /><Relationship Type="http://schemas.openxmlformats.org/officeDocument/2006/relationships/worksheet" Target="/xl/worksheets/sheet6.xml" Id="Rf4c45e679b8244d8" /><Relationship Type="http://schemas.openxmlformats.org/officeDocument/2006/relationships/worksheet" Target="/xl/worksheets/sheet7.xml" Id="Re1e7b0af6c22465d" /></Relationships>
</file>

<file path=xl/drawings/_rels/drawing1.xml.rels>&#65279;<?xml version="1.0" encoding="utf-8"?><Relationships xmlns="http://schemas.openxmlformats.org/package/2006/relationships"><Relationship Type="http://schemas.openxmlformats.org/officeDocument/2006/relationships/chart" Target="/xl/drawings/charts/chart1.xml" Id="R3dbfc6b9f3af493f"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dbfc6b9f3af493f"/>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a5a646649c8f461c" /></Relationships>
</file>

<file path=xl/worksheets/_rels/sheet3.xml.rels>&#65279;<?xml version="1.0" encoding="utf-8"?><Relationships xmlns="http://schemas.openxmlformats.org/package/2006/relationships"><Relationship Type="http://schemas.openxmlformats.org/officeDocument/2006/relationships/table" Target="/xl/tables/table1.xml" Id="Rd74cedf4011e49f3" /></Relationships>
</file>

<file path=xl/worksheets/_rels/sheet4.xml.rels>&#65279;<?xml version="1.0" encoding="utf-8"?><Relationships xmlns="http://schemas.openxmlformats.org/package/2006/relationships"><Relationship Type="http://schemas.openxmlformats.org/officeDocument/2006/relationships/table" Target="/xl/tables/table2.xml" Id="Ra91f42de3d05497c" /></Relationships>
</file>

<file path=xl/worksheets/_rels/sheet5.xml.rels>&#65279;<?xml version="1.0" encoding="utf-8"?><Relationships xmlns="http://schemas.openxmlformats.org/package/2006/relationships"><Relationship Type="http://schemas.openxmlformats.org/officeDocument/2006/relationships/table" Target="/xl/tables/table3.xml" Id="R5000dc7f95104623" /></Relationships>
</file>

<file path=xl/worksheets/_rels/sheet6.xml.rels>&#65279;<?xml version="1.0" encoding="utf-8"?><Relationships xmlns="http://schemas.openxmlformats.org/package/2006/relationships"><Relationship Type="http://schemas.openxmlformats.org/officeDocument/2006/relationships/table" Target="/xl/tables/table4.xml" Id="Rc84f48443a584cc1"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- 8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199</x:v>
      </x:c>
      <x:c r="C5" s="88"/>
      <x:c r="D5" s="92" t="str">
        <x:v>TypeScript</x:v>
      </x:c>
      <x:c r="E5" s="93" t="str">
        <x:v>Passed</x:v>
      </x:c>
      <x:c r="F5" s="94" t="str">
        <x:v>Local checks passed</x:v>
      </x:c>
      <x:c r="G5" s="92" t="str">
        <x:v>Current branch</x:v>
      </x:c>
      <x:c r="H5" s="93" t="str">
        <x:v>codex/launch-quality-system; PR #6</x:v>
      </x:c>
      <x:c r="I5" s="93"/>
      <x:c r="J5" s="94"/>
    </x:row>
    <x:row r="6" ht="16.799999237060547" hidden="0" customHeight="1">
      <x:c r="A6" s="95" t="str">
        <x:v>Completed</x:v>
      </x:c>
      <x:c r="B6" s="96" t="n">
        <x:f>COUNTIF('Feature Tracker'!$F$5:$F$215,"Completed")</x:f>
        <x:v>157</x:v>
      </x:c>
      <x:c r="C6" s="88"/>
      <x:c r="D6" s="97" t="str">
        <x:v>Lint</x:v>
      </x:c>
      <x:c r="E6" s="98" t="str">
        <x:v>Passed</x:v>
      </x:c>
      <x:c r="F6" s="99" t="str">
        <x:v>No warnings/errors</x:v>
      </x:c>
      <x:c r="G6" s="97" t="str">
        <x:v>Current stage</x:v>
      </x:c>
      <x:c r="H6" s="98" t="str">
        <x:v>Homepage merged via PR #5; Stage 6.2 active</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open; independent re-review of fixes required</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34</x:v>
      </x:c>
      <x:c r="C8" s="88"/>
      <x:c r="D8" s="97" t="str">
        <x:v>Production build</x:v>
      </x:c>
      <x:c r="E8" s="98" t="str">
        <x:v>Passed</x:v>
      </x:c>
      <x:c r="F8" s="99" t="str">
        <x:v>Review-fix build passed; max JS 128 KB</x:v>
      </x:c>
      <x:c r="G8" s="97" t="str">
        <x:v>Next functionality</x:v>
      </x:c>
      <x:c r="H8" s="98" t="str">
        <x:v>Production access/providers and independent launch acceptance</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18 isolated DB cases passed; live acceptance open</x:v>
      </x:c>
      <x:c r="G9" s="97" t="str">
        <x:v>Browser QA</x:v>
      </x:c>
      <x:c r="H9" s="98" t="str">
        <x:v>CI 56 green; one fixture race repaired; latest CI governs full suite</x:v>
      </x:c>
      <x:c r="I9" s="98"/>
      <x:c r="J9" s="99"/>
    </x:row>
    <x:row r="10" ht="39.599998474121094" hidden="0" customHeight="1">
      <x:c r="A10" s="95" t="str">
        <x:v>Pending</x:v>
      </x:c>
      <x:c r="B10" s="96" t="n">
        <x:f>COUNTIF('Feature Tracker'!$F$5:$F$215,"Pending")</x:f>
        <x:v>7</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0.9415075376884421</x:v>
      </x:c>
      <x:c r="C11" s="88"/>
      <x:c r="D11" s="102" t="str">
        <x:v>Security/load</x:v>
      </x:c>
      <x:c r="E11" s="103" t="str">
        <x:v>Partial pass</x:v>
      </x:c>
      <x:c r="F11" s="104" t="str">
        <x:v>Fixes verified; re-review open</x:v>
      </x:c>
      <x:c r="G11" s="102" t="str">
        <x:v>Final QA blocker</x:v>
      </x:c>
      <x:c r="H11" s="103" t="str">
        <x:v>Updated PR review, providers, load and final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157</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34</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7</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12</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8 October: nine independent-review defects and ban-policy risk repaired. Next.js 15.5.27 production audit clean. CI 56 green: 18 DB tests, 101 URLs, 127 browser passes plus one retry-pass and one planned skip. Accessibility fixture race repaired. Latest exact-head CI, independent re-review and deployment gates remain authoritative.</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Application work completed where access permits. Owner steps and handoff are in docs/OWNER_LAUNCH_ACTIONS.md: hosting/DB/DNS, Cloudflare/Resend, enabled Google configuration, backups/ledger/monitoring, independent PR review and protected main, actual devices and representative 500-user staging load. A/B1 remain approved.</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a5a646649c8f461c"/>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code/CI complete on feature branch; external deployment team owns hosting, provider, DNS and live acceptance per docs/DEPLOYMENT_HANDOFF.md</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5 October application 1e0a071 passed full CI run 49: audit/migrations, 13 DB checks, check/lint/build, 101-route sweep, 120 browser passes and 1 planned skip. Master tracker is 94.2%; live deployment/provider/device gaps remain. Owner steps are in OWNER_LAUNCH_ACTIONS.md. Feature push, independent PR review and main merge are separate.</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8 October 2026: independent PR #6 findings repaired on the feature branch. Updated-head independent review and merge remain pending. See PR6_REVIEW_RESPONSE.md for numbered dispositions and verification. Live deployment/provider/device gates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Completed</x:v>
      </x:c>
      <x:c r="G10" s="137" t="n">
        <x:v>1</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Runtime startup validation and stricter launch CLI implemented and tested. Checks origins, PostgreSQL URL, non-placeholder secret, provider alignment, private-media variables, OAuth pairs and unsafe upload paths without printing values. Removed unused Typesense settings. Current local config passes; launch check correctly reports missing HTTPS/live email/durable media and cron-secret requirements.</x:v>
      </x:c>
      <x:c r="O10" s="136" t="str">
        <x:v>Run npm run check:deployment with the selected deployment configuration; live services remain separately tracked.</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8 Oct: review fixes 7c9a1e1 and Next.js 15.5.27 patch df422a7 pushed. CI run 56 passed: audit, 18 DB cases, checks/lint/build, 101 URLs and browser suite (127 pass, 1 retry-pass, 1 planned skip). Accessibility fixture race repaired; latest exact-head CI and independent re-review required.</x:v>
      </x:c>
      <x:c r="O12" s="136" t="str">
        <x:v>Require green updated-head CI, independent re-review and branch protection before main merge; persistent staging remains.</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Completed</x:v>
      </x:c>
      <x:c r="G16" s="137" t="n">
        <x:v>1</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8 Oct: 18 isolated DB regressions cover publication quota races, curated taxonomy/area ownership, restore moderation/alert suppression, safe logging and banned-owner alerts.</x:v>
      </x:c>
      <x:c r="O16" s="136" t="str">
        <x:v>Maintain regression coverage as product/provider changes occur; no framework implementation gap remains.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8 Oct: browser regressions added for seller-delete backup replay, quota reactivation, authenticated redirect, banned detail/media/contact and closed verified-dealer homepage. Final coverage in PR6_REVIEW_RESPONSE.md.</x:v>
      </x:c>
      <x:c r="O17" s="136" t="str">
        <x:v>Maintainer review/merge decision and required repository checks; live acceptance remains tracked separately.</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earlier package, route and browser checks passed. 8 Oct 2026: patched source-map-js to 1.2.2 for GHSA-68fv-2mgg-jv7q. Production npm audit reports zero vulnerabilities; local lint and build pass. GitHub PR #6 quality and acceptance CI passed.</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8 Oct review #3: verified homepage dealers require an open, unbanned owner. Close/restore/ban browser regression checks homepage, storefront and directory; counts use public inventory eligibility.</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0.95</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Desktop/mobile dealer checks and tablet 1024x768 checks pass across home, cars, bikes, parts, dealers and login at 200% text size. Fixed header/footer overflow. Reduced-motion hero/sell visuals are static. Owner-approved homepage remains in place.</x:v>
      </x:c>
      <x:c r="O39" s="136" t="str">
        <x:v>Real-device, camera/file picker, screen-reader and slow-network HTTPS acceptance remain parked for launch.</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8 Oct review #8: seven auth paths share bounded same-origin return-path validation. Backslash, encoded slash/control and foreign targets reject to /. Authenticated HTTP and helper regressions cover valid local paths.</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Local/CI auth limiter and next-window recovery checks pass. Google auth initiation no longer prefetches; unavailable redirect uses configured site origin. Live Google provider, proxy thresholds and alerts remain.</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0.95</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Configured scheme/host/port Origin checks reject foreign, opaque, path/userinfo and spoofed-Host origins; cross-site Fetch Metadata rejected. Browser direct seller action cross-origin replay rejected. Next server-action protection and upload route guard retained.</x:v>
      </x:c>
      <x:c r="O50" s="136" t="str">
        <x:v>Verify trusted proxy/public origin configuration and cross-origin rejection on HTTPS staging.</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8 Oct risk #10: banned inventory excluded from public search/detail/media/contact, saved/recent ads, sitemap, linked inspection and alerts. Unban exposes only still-active ads. Distinct seller/buyer alert regression passes.</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Excluded / Change Request</x:v>
      </x:c>
      <x:c r="F57" s="136" t="str">
        <x:v>Out of Scope / Removed</x:v>
      </x:c>
      <x:c r="G57" s="137" t="n">
        <x:v>0</x:v>
      </x:c>
      <x:c r="H57" s="136" t="str">
        <x:v>High</x:v>
      </x:c>
      <x:c r="I57" s="136" t="str">
        <x:v>Stage 4</x:v>
      </x:c>
      <x:c r="J57" s="136" t="str">
        <x:v>Product Owner</x:v>
      </x:c>
      <x:c r="K57" s="136" t="str">
        <x:v>Verification fields and admin UI</x:v>
      </x:c>
      <x:c r="L57" s="136" t="str">
        <x:v>Only authorized admins grant/revoke verification and actions are logged.</x:v>
      </x:c>
      <x:c r="M57" s="136" t="str">
        <x:v>Grant/revoke; badge accuracy; audit log</x:v>
      </x:c>
      <x:c r="N57" s="136" t="str">
        <x:v>Owner approved B1 on 4 October 2026: no ordinary-seller Verified Seller badge in V1. Removed by explicit owner decision, not implemented. Email/phone/vehicle ownership claims must not be inferred. Audited manual dealer verification remains separately implemented.</x:v>
      </x:c>
      <x:c r="O57" s="136" t="str">
        <x:v>No V1 implementation required. Any future individual-seller badge requires a new approved verification process and scope decision.</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8 Oct review #6: car/bike publication validates active curated make/model/variant and matching vertical. Forged, invalid or inactive supplied variants cannot fall back to custom text. DB rollback and valid publication tested.</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8 Oct review #5: all vertical creation, reactivation and rejected-ad resubmission serialize on the owner row and check 3 live ads in the transaction. Concurrent publication permits only one final slot; real dealer profile exemption tested.</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8 Oct review #1: seller deletion writes a seller-delete ledger receipt atomically. Backup replay hides the ad idempotently; retained photos stay private with admin evidence access. Retention expiry/holds remain authoritative.</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Launch Configuration Pending</x:v>
      </x:c>
      <x:c r="G87" s="137" t="n">
        <x:v>0.9</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Private Cloudflare UUID uploads, response privacy verification, server-only 60-second signing and authorized no-store proxy delivery implemented. Mock provider covers upload/signing/read/delete/configuration and upstream failure. Local shared visibility browser cases pass. docs/PRIVATE_MEDIA.md records old custom-ID migration and variant restrictions. Cloudflare credentials are absent locally.</x:v>
      </x:c>
      <x:c r="O87" s="136" t="str">
        <x:v>Provide/configure Cloudflare account, token, signing key, hash and private variant; migrate any old public custom IDs and run live upload/read/delete/access acceptance.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0.8</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Both providers deliver bounded WebP through the authorization endpoint; static assets retain Next optimization. Public provider/optimizer bypasses are removed. Cloudflare private variant and application bandwidth/processing need live measurement; no production media-performance claim.</x:v>
      </x:c>
      <x:c r="O89" s="136" t="str">
        <x:v>Measure real image dimensions, transfer size, LCP and proxy capacity on HTTPS staging; configure bounded private variants.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0.97</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Existing real DB failure/recovery acceptance retained; delayed seller action shows pending state and disables repeat clicks in desktop/mobile. Explicit exhausted write-limit notice displayed.</x:v>
      </x:c>
      <x:c r="O111" s="136" t="str">
        <x:v>Real slow-network/device and live provider-outage acceptance remain.</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0.95</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Pagination now precedes browse enrichment; indexed correlated primary photo replaces full-image aggregate. Rollback-only 20,000-ad full-query benchmark covers car/bike/part first and offset-5000 pages; first-page 127-152 ms to 1.4-2.4 ms, deep pages 141-221 ms to 34-44 ms locally. DB compares six sorts/two pages/all verticals including NULL/ties and duplicate-position photo. See LOCAL_QUERY_PLAN_REPORT.md.</x:v>
      </x:c>
      <x:c r="O112" s="136" t="str">
        <x:v>Repeat concurrent full-query benchmark on representative HTTPS staging host/data; local query measurements are not 500-user capacity acceptance.</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8 Oct: contact action rejects inactive/deleted ads and banned/closed/anonymized owners. Browser regression replays a previously captured reveal after ban and checks no phone disclosure.</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8 Oct review #9: handled lead errors log fixed event plus safe SQLSTATE only, never raw query/message/parameters. Source bounded to known values; private marker logging regression passes.</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Product Owner</x:v>
      </x:c>
      <x:c r="K122" s="136" t="str">
        <x:v>Database</x:v>
      </x:c>
      <x:c r="L122" s="136" t="str">
        <x:v>Human views are counted consistently without blocking response or inflating from owner/bots beyond approved rules.</x:v>
      </x:c>
      <x:c r="M122" s="136" t="str">
        <x:v>Repeated/bot/owner; DB failure; concurrency</x:v>
      </x:c>
      <x:c r="N122" s="136" t="str">
        <x:v>Raw view counter remains a render counter including repeats/crawlers. docs/OPERATIONS.md explicitly excludes it from unique-visitor and conversion-rate claims.</x:v>
      </x:c>
      <x:c r="O122" s="136" t="str">
        <x:v>Define whether V1 needs unique human views and its privacy/identity policy before changing counting semantics.</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Launch Configuration Pending</x:v>
      </x:c>
      <x:c r="G133" s="137" t="n">
        <x:v>0.9</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8 Oct review #4/risk #10: closure replay suppresses old undelivered alerts before preference restore. Banned listing owners cannot match or deliver to another buyer. DB regressions pass; live mail/scheduling remain.</x:v>
      </x:c>
      <x:c r="O133" s="136" t="str">
        <x:v>Configure verified Resend sender and credentials, schedule queue/delivery, review initial backlog and complete controlled mailbox, outage and deliverability acceptance.</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Completed</x:v>
      </x:c>
      <x:c r="G135" s="137" t="n">
        <x:v>1</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Desktop/mobile deterministic inventory acceptance passes: 26 active ads, 25+1 disjoint pages, total count independent of page size, stable ordering, invalid page fallback, inactive inventory denial and banned dealer exclusion. Fixed missing storefront pagination and truncated total.</x:v>
      </x:c>
      <x:c r="O135" s="136" t="str">
        <x:v>Include dealer inventory in routine release regression; live/device acceptance remains in launch QA.</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8 Oct risk #10: manual bans preserve inventory but hide public ads/media/contact and alert matches. Existing session revocation/audit rules retained. Unban cannot revive removed ads.</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0.9</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docs/DEPLOYMENT.md now explicitly requires a reachable migrated isolated CI or staging/build database; clean migrations, seeds and production build pass. Demo seeds are forbidden against production. Sitemap remains dynamic.</x:v>
      </x:c>
      <x:c r="O165" s="136" t="str">
        <x:v>Configure the selected build/staging database and verify deployment-network access and sitemap origin.</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0.95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Desktop/mobile seller acceptance checks sold ad anonymous detail 404, exclusion from recent search and sitemap, seller deletion preserving approved private photos, owner photo denial/admin positive control, and stale sold action unable to resurrect removed ad.</x:v>
      </x:c>
      <x:c r="O168" s="136" t="str">
        <x:v>Verify expiry/sold/deleted lifecycle and live provider visibility on staging with configured scheduling.</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0.98</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New direct-action cases cover shared write limits, foreign Origin, invalid admin enums/IDs/reason length, triple concurrent identical removal with one audit, stale seller action, private deleted media and complaint-hold edit preserving fields/photos. Row locks and conditional status updates protect concurrent transitions; prior auth/provider/mock acceptance retained.</x:v>
      </x:c>
      <x:c r="O170" s="136" t="str">
        <x:v>Independent final PR security review and live provider/proxy/storage acceptance; actual devices remain separate.</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0.99</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Runtime moderation/listing/user/dealer decision checks added beyond TypeScript types. Direct browser action invalid enum/negative ID/oversize reason cases preserve DB state; complaint-hold edit returns clear error without changing evidence.</x:v>
      </x:c>
      <x:c r="O171" s="136" t="str">
        <x:v>Retain local negative regression; verify final live integrations/configuration before sign-off.</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0.99</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seller/admin write quotas cover edits, sold/delete/reactivation/resubmission, moderation, bans, dealer verification, manual services, retention holds and avatar/logo removal. Exhaustion preserves state/audit, next-window recovery DB check passes; quota notices displayed.</x:v>
      </x:c>
      <x:c r="O172" s="136" t="str">
        <x:v>Validate trusted proxy IP handling, production thresholds and operational alerts on staging.</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0.9</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Published privacy policy now states client-approved account recovery, 12/24-month retention, 90-day activity and 30-day backup policy, necessary holds and no inactivity-only account deletion. Closure/recovery linked in account settings and locally accepted on desktop/mobile. Final live provider disclosures/consent acceptance remains.</x:v>
      </x:c>
      <x:c r="O174" s="136" t="str">
        <x:v>Validate actual provider disclosures, legal/consent requirements and production privacy operation before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0.95</x:v>
      </x:c>
      <x:c r="H175" s="136" t="str">
        <x:v>High</x:v>
      </x:c>
      <x:c r="I175" s="136" t="str">
        <x:v>Stage 6</x:v>
      </x:c>
      <x:c r="J175" s="136" t="str">
        <x:v>Product Owner / DevOps</x:v>
      </x:c>
      <x:c r="K175" s="136" t="str">
        <x:v>Privacy policy and operations</x:v>
      </x:c>
      <x:c r="L175" s="136" t="str">
        <x:v>Retention schedule and deletion workflows are documented and executable.</x:v>
      </x:c>
      <x:c r="M175" s="136" t="str">
        <x:v>Retention job; account deletion; backup implications</x:v>
      </x:c>
      <x:c r="N175" s="136" t="str">
        <x:v>8 Oct reviews #1/#2/#4: atomic seller-delete receipts, receipt-aware idempotent replay, later moderator rejection preserved, cancelled alerts suppressed. Approved A windows/holds unchanged. Production backup/restore drill remains.</x:v>
      </x:c>
      <x:c r="O175" s="136" t="str">
        <x:v>Independent review of repaired replay; deployment owner must export protected current ledger and rehearse restore before clearing maintenance.</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0.85</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Local application review addressed stale state writes, moderation duplicate audit races, tampered runtime decisions, complaint-evidence edits, upload Origin spoofing, deleted-photo privacy and write-limit gaps. Targeted DB/browser evidence recorded; independent review and infrastructure/provider review still open.</x:v>
      </x:c>
      <x:c r="O176" s="136" t="str">
        <x:v>Independent PR review and staging provider/proxy/log/storage security assessment; close any high/critical launch finding.</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Application 1e0a071 full CI run 49 passes: 120 browser passes, 1 planned skip, 13 isolated DB checks, check/lint/build and 101-route sweep. Run 48 Google-prefetch/redirect and WebKit-origin findings fixed; independent final review and live provider/device acceptance remain.</x:v>
      </x:c>
      <x:c r="O181" s="136" t="str">
        <x:v>Latest-head CI, independent review, live provider/staging/device acceptance remain.</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Full Linux CI run 49 passes mobile Chromium and WebKit navigation/photo upload. Windows local WebKit photo upload passes; navigation timed out waiting for stable Auto Parts tab while local suites ran concurrently. Actual iPhone Safari/Android Chrome HTTPS, camera, keyboard, slow-network and assistive acceptance remain required; no real-device sign-off claimed.</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0.95</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Existing 34-route axe coverage is supplemented by 200% text sizing at tablet width across six routes and reduced-motion checks. Header/footer overflow found and fixed; desktop/mobile projects pass.</x:v>
      </x:c>
      <x:c r="O183" s="136" t="str">
        <x:v>Manual screen-reader, real-device and browser zoom acceptance remain for launch.</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0.95</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Production build remains under the 150 KB JS budget (maximum 128 KB). Local 100-request concurrency-five smoke: zero failures, p50 253 ms, p95 517 ms, max 839 ms. 10,000-row query sample verifies the newest-first index. Reports clearly distinguish local samples from production acceptance.</x:v>
      </x:c>
      <x:c r="O184" s="136" t="str">
        <x:v>Measure real media/Web Vitals and representative staging capacity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Partially Implemented</x:v>
      </x:c>
      <x:c r="G185" s="137" t="n">
        <x:v>0.25</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Added repeatable loopback-only 100-request concurrency-five HTTP load smoke; zero failures. Synthetic 10,000-row query fixtures roll back. These are local baselines, not the required 500-user ramp/soak.</x:v>
      </x:c>
      <x:c r="O185" s="136" t="str">
        <x:v>Run representative 500-user ramp/soak with monitoring on the selected staging infrastructure.</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Candidate 1e0a071 passes full CI run 49, including Chromium/mobile/WebKit and recovery, 13 DB cases and 101-route sweep. Tracker links provider/device/staging gates to owner handoff; this does not substitute independent review or live acceptance.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Deployment assigned to an external team by the owner on 8 Oct 2026. docs/DEPLOYMENT_HANDOFF.md provides the reviewed-source, runtime, environment, migration, provider, DNS and acceptance package. No production deployment is documented as complete.</x:v>
      </x:c>
      <x:c r="O194" s="136" t="str">
        <x:v>External team: provision hosting and deploy reviewed main SHA; return URL, commit, smoke, rollback and monitoring evidence.</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Private Cloudflare delivery code and mock-provider checks are implemented under JW-083. No account/token/signing key/hash/variant is configured locally; durable staging/production storage and old-object migration are unverified.</x:v>
      </x:c>
      <x:c r="O196" s="136" t="str">
        <x:v>Configure Cloudflare and verify private media lifecycle and persistence across deployment/restart.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8 Oct 2026 DNS check: ns91.host.com.pk/ns92.host.com.pk; apex resolves to existing cPanel server 5.101.140.80. Owner confirms Coming Soon site and no old website/mailbox data needs migration. Production HTTPS application is not deployed or verified.</x:v>
      </x:c>
      <x:c r="O197" s="136" t="str">
        <x:v>External team: recheck active DNS at cutover, update apex/www to selected host and verify TLS, redirects and canonical URL.</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Partially Implemented</x:v>
      </x:c>
      <x:c r="G199" s="137" t="n">
        <x:v>0.75</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8 Oct review #9: shared safe handled-error logger used for lead, auth delivery, view count, upload/storage and cron failures. Marker regression confirms query/PII omission. External log sink/alerts require deployment setup.</x:v>
      </x:c>
      <x:c r="O199" s="136" t="str">
        <x:v>Configure hosted log retention/aggregation, monitoring recipients and end-to-end staging notifications.</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Partially Implemented</x:v>
      </x:c>
      <x:c r="G200" s="137" t="n">
        <x:v>0.4</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Added uncached/noindex /api/health readiness endpoint with DB check and generic 503 failures; success/failure redaction unit checks and desktop/mobile HTTP checks pass.</x:v>
      </x:c>
      <x:c r="O200" s="136" t="str">
        <x:v>Attach the selected external uptime monitor to HTTPS staging/production and verify notifications.</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0.95</x:v>
      </x:c>
      <x:c r="H202" s="136" t="str">
        <x:v>Medium</x:v>
      </x:c>
      <x:c r="I202" s="136" t="str">
        <x:v>Stage 6</x:v>
      </x:c>
      <x:c r="J202" s="136" t="str">
        <x:v>Product Owner / DevOps</x:v>
      </x:c>
      <x:c r="K202" s="136" t="str">
        <x:v>Analytics decision/privacy policy</x:v>
      </x:c>
      <x:c r="L202" s="136" t="str">
        <x:v>Page traffic and lead conversions are measurable without claiming advanced BI.</x:v>
      </x:c>
      <x:c r="M202" s="136" t="str">
        <x:v>Event accuracy; consent; duplicate events</x:v>
      </x:c>
      <x:c r="N202" s="136" t="str">
        <x:v>Read-only exact-database operator report supplies inventory, raw render/contact totals, anonymous retained monthly contacts, service/report status, email backlog and retention queues. DB redaction/read-only checks pass. Definitions explicitly distinguish renders from humans, contacts from sales and provider acceptance from delivery.</x:v>
      </x:c>
      <x:c r="O202" s="136" t="str">
        <x:v>Configure production operational reporting process. Recommendation: keep clearly labelled existing V1 counts; unique-human tracking needs a separate privacy/method decision if desired.</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8 Oct review #7: each car/bike/part publication validates area belongs to selected city before claiming photos. All three rollback regressions pass. Existing approximate-location privacy retained; live Google Maps billing/provider acceptance remains.</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d74cedf4011e49f3"/>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plus bounded overflow-safe matching and leased immutable email delivery, retries and eligibility controls implemented and DB-tested with mock sends; provider/scheduler/mailbox acceptance remain.</x:v>
      </x:c>
      <x:c r="F17" s="141" t="str">
        <x:v>Automated matching/overflow/deduplication and delivered-email acceptance pass with configured provider/scheduler.</x:v>
      </x:c>
      <x:c r="G17" s="141" t="str">
        <x:v>In Progress</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8 Oct: independent PR #6 findings repaired and regression coverage expanded. Verify updated-head check/lint/build, 18 DB cases, 101-route sweep and browser suite in PR6_REVIEW_RESPONSE.md. Independent re-review, protected main and persistent staging remain open.</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codex/production-readiness (planned)</x:v>
      </x:c>
      <x:c r="E24" s="141" t="str">
        <x:v>Approved A/B1 application work includes retention/replay/holds/private media queues, resilient alerts, runtime readiness/errors, action security, 20,000-ad paginated browse benchmark and aggregate operations reporting. Full CI run 49 passed on 1e0a071. Live hosting/DB/media/mail/backups/cron/monitoring, restore drill and final device/security/500-user staging acceptance require owner access; see OWNER_LAUNCH_ACTIONS.md.</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a91f42de3d05497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direct listing actions plus local image GET/HEAD checks for pending, active and all inactive statuses; owner/admin success, foreign/anonymous denial and optimizer rejection</x:v>
      </x:c>
      <x:c r="F10" s="141" t="str">
        <x:v>Local pass: private reads denied, active photos public, owner edit preview loads, no-store headers verified.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Desktop/mobile seller deletion plus atomic ledger receipt, pre-delete backup replay repeated twice, retained evidence and anonymous/admin media authorization.</x:v>
      </x:c>
      <x:c r="F17" s="141" t="str">
        <x:v>Regression covers public detail/media denial after replay and retained private photos for approved retention/admin evidence access.</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Active buyer reveal/lead logging, inactive rejection and captured action replay after owner ban. Safe handled-error marker regression.</x:v>
      </x:c>
      <x:c r="F29" s="141" t="str">
        <x:v>Active reveal remains available; inactive/banned owners cannot disclose phone. Raw query/message/parameters excluded from handled error logs.</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Isolated DB overflow/dedupe/retry/concurrency, closure replay suppression and banned listing owner versus separate buyer. Local transport mocks; live provider/scheduler remain.</x:v>
      </x:c>
      <x:c r="F34" s="141" t="str">
        <x:v>Local DB delivery/matching acceptance passes, including cancelled alerts and banned inventory. Live email delivery/mailbox acceptance pending.</x:v>
      </x:c>
      <x:c r="G34" s="141" t="str">
        <x:v>Deployment owner configures live email provider/scheduler and mailbox acceptance.</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Desktop/mobile deterministic dealer fixture with 26 active and four inactive listings; pagination, counts, invalid page and banned owner checks</x:v>
      </x:c>
      <x:c r="F36" s="141" t="str">
        <x:v>Passed local: correct 26 total, disjoint 25+1 pages, inactive detail 404 and banned storefront/directory exclusion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Dealer/service authorization retained; direct admin decision tampering and three concurrent removal replays</x:v>
      </x:c>
      <x:c r="F37" s="141" t="str">
        <x:v>Local desktop/mobile negatives preserve state; authorized concurrent removal yields one audit; independent/live security acceptance remains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creation/customer history plus direct administration replay by owner, foreign seller and anonymous visitor; admin positive control and unchanged DB/audit checks</x:v>
      </x:c>
      <x:c r="F39"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creation/customer history plus direct administration replay by owner, foreign seller and anonymous visitor; admin positive control and unchanged DB/audit checks</x:v>
      </x:c>
      <x:c r="F40"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Existing authorization/session/audit tests plus banned public detail GET, image GET/HEAD, contact replay, discovery/sitemap and unban without reviving removed inventory.</x:v>
      </x:c>
      <x:c r="F44" s="141" t="str">
        <x:v>Local regressions cover admin access and banned inventory visibility. Independent updated-head review and production acceptance remain.</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Local bounded smoke and rollback-only query-plan fixtures implemented; 500-user staging ramp/soak not run</x:v>
      </x:c>
      <x:c r="F54" s="141" t="str">
        <x:v>Partial: 100 requests at concurrency five, zero failures; staging 500-user capacity remains open</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Clean isolated migrations/seeding, seven DB checks and current local production build</x:v>
      </x:c>
      <x:c r="F55" s="141" t="str">
        <x:v>Local migrations/seven DB acceptance tests pass; full GitHub run 43 on 0569081 passed fresh migration, seed and DB acceptance. Production database deployment and rollback rehearsal remain open.</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Local deletion replay and ID-reservation pass; production backup drill not run</x:v>
      </x:c>
      <x:c r="F56" s="141" t="str">
        <x:v>Pre-launch: configure actual 30-day backups, current ledger/hold recovery and production-like restore smoke</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Authenticated retention/media workers, lifecycle visibility, limiter exhaustion/recovery, stale sold replay and complaint-evidence edit guards</x:v>
      </x:c>
      <x:c r="F57" s="141" t="str">
        <x:v>Local DB/browser pass; production schedules/provider deletion/backups/ledger restore rehearsal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5000dc7f95104623"/>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c84f48443a584cc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