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00c37ad15474188" /></Relationships>
</file>

<file path=xl/workbook.xml><?xml version="1.0" encoding="utf-8"?>
<x:workbook xmlns:x="http://schemas.openxmlformats.org/spreadsheetml/2006/main">
  <x:sheets>
    <x:sheet xmlns:r="http://schemas.openxmlformats.org/officeDocument/2006/relationships" name="Dashboard" sheetId="1" r:id="Rdb392ab5d74b4487"/>
    <x:sheet xmlns:r="http://schemas.openxmlformats.org/officeDocument/2006/relationships" name="Governance &amp; Usage" sheetId="2" r:id="R9e04d7112b764be9"/>
    <x:sheet xmlns:r="http://schemas.openxmlformats.org/officeDocument/2006/relationships" name="Feature Tracker" sheetId="3" r:id="Rda246002cd7f40b0"/>
    <x:sheet xmlns:r="http://schemas.openxmlformats.org/officeDocument/2006/relationships" name="Development Roadmap" sheetId="4" r:id="R2424cffe62d245a2"/>
    <x:sheet xmlns:r="http://schemas.openxmlformats.org/officeDocument/2006/relationships" name="Test Matrix" sheetId="5" r:id="Rdb487aa56ef9452a"/>
    <x:sheet xmlns:r="http://schemas.openxmlformats.org/officeDocument/2006/relationships" name="Scope Guardrails" sheetId="6" r:id="Rc20d3f9971c941b5"/>
    <x:sheet xmlns:r="http://schemas.openxmlformats.org/officeDocument/2006/relationships" name="Lists" sheetId="7" r:id="Rbbcb403f7f8f4ce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ef5d4fc71f4a01" /><Relationship Type="http://schemas.openxmlformats.org/officeDocument/2006/relationships/theme" Target="/xl/theme/theme1.xml" Id="Rc03a8a6a3eab4d87" /><Relationship Type="http://schemas.openxmlformats.org/officeDocument/2006/relationships/sharedStrings" Target="/xl/sharedStrings.xml" Id="R20b4fa857460435b" /><Relationship Type="http://schemas.openxmlformats.org/officeDocument/2006/relationships/worksheet" Target="/xl/worksheets/sheet1.xml" Id="Rdb392ab5d74b4487" /><Relationship Type="http://schemas.openxmlformats.org/officeDocument/2006/relationships/worksheet" Target="/xl/worksheets/sheet2.xml" Id="R9e04d7112b764be9" /><Relationship Type="http://schemas.openxmlformats.org/officeDocument/2006/relationships/worksheet" Target="/xl/worksheets/sheet3.xml" Id="Rda246002cd7f40b0" /><Relationship Type="http://schemas.openxmlformats.org/officeDocument/2006/relationships/worksheet" Target="/xl/worksheets/sheet4.xml" Id="R2424cffe62d245a2" /><Relationship Type="http://schemas.openxmlformats.org/officeDocument/2006/relationships/worksheet" Target="/xl/worksheets/sheet5.xml" Id="Rdb487aa56ef9452a" /><Relationship Type="http://schemas.openxmlformats.org/officeDocument/2006/relationships/worksheet" Target="/xl/worksheets/sheet6.xml" Id="Rc20d3f9971c941b5" /><Relationship Type="http://schemas.openxmlformats.org/officeDocument/2006/relationships/worksheet" Target="/xl/worksheets/sheet7.xml" Id="Rbbcb403f7f8f4ce0" /></Relationships>
</file>

<file path=xl/drawings/_rels/drawing1.xml.rels>&#65279;<?xml version="1.0" encoding="utf-8"?><Relationships xmlns="http://schemas.openxmlformats.org/package/2006/relationships"><Relationship Type="http://schemas.openxmlformats.org/officeDocument/2006/relationships/chart" Target="/xl/drawings/charts/chart1.xml" Id="R8c7219f423794af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c7219f423794af3"/>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6a3a37015154bf3" /></Relationships>
</file>

<file path=xl/worksheets/_rels/sheet3.xml.rels>&#65279;<?xml version="1.0" encoding="utf-8"?><Relationships xmlns="http://schemas.openxmlformats.org/package/2006/relationships"><Relationship Type="http://schemas.openxmlformats.org/officeDocument/2006/relationships/table" Target="/xl/tables/table1.xml" Id="R091215728ac74949" /></Relationships>
</file>

<file path=xl/worksheets/_rels/sheet4.xml.rels>&#65279;<?xml version="1.0" encoding="utf-8"?><Relationships xmlns="http://schemas.openxmlformats.org/package/2006/relationships"><Relationship Type="http://schemas.openxmlformats.org/officeDocument/2006/relationships/table" Target="/xl/tables/table2.xml" Id="Rb1a63ac5e5d64c3a" /></Relationships>
</file>

<file path=xl/worksheets/_rels/sheet5.xml.rels>&#65279;<?xml version="1.0" encoding="utf-8"?><Relationships xmlns="http://schemas.openxmlformats.org/package/2006/relationships"><Relationship Type="http://schemas.openxmlformats.org/officeDocument/2006/relationships/table" Target="/xl/tables/table3.xml" Id="Rdf04f24465c545d9" /></Relationships>
</file>

<file path=xl/worksheets/_rels/sheet6.xml.rels>&#65279;<?xml version="1.0" encoding="utf-8"?><Relationships xmlns="http://schemas.openxmlformats.org/package/2006/relationships"><Relationship Type="http://schemas.openxmlformats.org/officeDocument/2006/relationships/table" Target="/xl/tables/table4.xml" Id="R1caedf44c0ee4e5f"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200</x:v>
      </x:c>
      <x:c r="C5" s="88"/>
      <x:c r="D5" s="92" t="str">
        <x:v>TypeScript</x:v>
      </x:c>
      <x:c r="E5" s="93" t="str">
        <x:v>Passed</x:v>
      </x:c>
      <x:c r="F5" s="94" t="str">
        <x:v>Passed on a96704b; CI run 37</x:v>
      </x:c>
      <x:c r="G5" s="92" t="str">
        <x:v>Current branch</x:v>
      </x:c>
      <x:c r="H5" s="93" t="str">
        <x:v>codex/launch-quality-system; a96704b pushed</x:v>
      </x:c>
      <x:c r="I5" s="93"/>
      <x:c r="J5" s="94"/>
    </x:row>
    <x:row r="6" ht="16.799999237060547" hidden="0" customHeight="1">
      <x:c r="A6" s="95" t="str">
        <x:v>Completed</x:v>
      </x:c>
      <x:c r="B6" s="96" t="n">
        <x:f>COUNTIF('Feature Tracker'!$F$5:$F$215,"Completed")</x:f>
        <x:v>154</x:v>
      </x:c>
      <x:c r="C6" s="88"/>
      <x:c r="D6" s="97" t="str">
        <x:v>Lint</x:v>
      </x:c>
      <x:c r="E6" s="98" t="str">
        <x:v>Passed</x:v>
      </x:c>
      <x:c r="F6" s="99" t="str">
        <x:v>No warnings/errors; CI run 37</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GitHub run 37 passed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Dealer/service negatives and controlled failure recovery</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5 DB checks; live deployment acceptance open</x:v>
      </x:c>
      <x:c r="G9" s="97" t="str">
        <x:v>Browser QA</x:v>
      </x:c>
      <x:c r="H9" s="98" t="str">
        <x:v>93 local passes, 1 planned skip; real-device QA open</x:v>
      </x:c>
      <x:c r="I9" s="98"/>
      <x:c r="J9" s="99"/>
    </x:row>
    <x:row r="10" ht="39.599998474121094" hidden="0" customHeight="1">
      <x:c r="A10" s="95" t="str">
        <x:v>Pending</x:v>
      </x:c>
      <x:c r="B10" s="96" t="n">
        <x:f>COUNTIF('Feature Tracker'!$F$5:$F$215,"Pending")</x:f>
        <x:v>11</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0.9058500000000003</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11</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a96704b passed GitHub run 37. Local suite: 93 browser passes, 1 planned skip, 5 DB checks and 101 routes clean; final media recheck: 2 cases and 103 routes clean. Persistent staging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Next: dealer/service authorization, controlled failure recovery and performance/load. Cloudflare private delivery, live providers and real-device review remain launch gates.</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c6a3a37015154bf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Reconciled 3 Oct 2026 against a96704b and successful GitHub run 37. Local acceptance: 93 browser passes, 1 planned skip, 5 DB checks; 101-route clean sweep and final 103-route media recheck. Framework complete pending PR #6 review; production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Environment template now documents local/Cloudflare media and rejects unsupported provider values. a96704b moves local storage outside public/. The template still refers to a missing src/lib/env.ts and unused/future settings; comprehensive startup validation is not implemented.</x:v>
      </x:c>
      <x:c r="O10" s="136" t="str">
        <x:v>Audit documented variables against consumers and implement safe startup validation for required deployment settings.</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0.75</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Reviewed estimate 75%: automated framework and five isolated DB checks are operational, including concurrent rate limits and actual upload-claim rollback, duplicate/reuse/foreign-key denial. HTTP authorization suite also proves publish/edit denial and owner/admin success. Wider transaction failure/concurrency coverage is incomplete.</x:v>
      </x:c>
      <x:c r="O16" s="136" t="str">
        <x:v>Extend transaction rollback and concurrency checks to publication, edits, moderation and service-request updates.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Framework acceptance criteria met on a96704b: isolated DB, desktop/mobile Chromium core journeys, iPhone WebKit smoke, 93 browser passes and one planned desktop-only skip; CI run 37 passed. PR #6 review remains open. Wider test coverage, real devices and deployment acceptance are separately tracked in JW-177/178/199.</x:v>
      </x:c>
      <x:c r="O17" s="136" t="str">
        <x:v>Review PR #6; retain regression coverage. Track additional cases in JW-177 rather than reopening the test-framework implementation.</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Reviewed estimate 90%: owner-approved homepage merged via PR #5; automated desktop/mobile route checks and iPhone WebKit smoke pass, including overflow checks. Broader tablet, real-device, keyboard/camera and slow-network visual acceptance remains open.</x:v>
      </x:c>
      <x:c r="O39" s="136" t="str">
        <x:v>Complete remaining tablet/real-device visual review and record issues by route.</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Backend</x:v>
      </x:c>
      <x:c r="K53" s="136" t="str">
        <x:v>Production DB access</x:v>
      </x:c>
      <x:c r="L53" s="136" t="str">
        <x:v>Named administrator is created through a documented auditable process and no default password is committed.</x:v>
      </x:c>
      <x:c r="M53" s="136" t="str">
        <x:v>Access test; audit review</x:v>
      </x:c>
      <x:c r="N53" s="136" t="str">
        <x:v>Local administrator access exists. No dedicated bootstrap command or complete audited production-bootstrap runbook was found; production administrator creation remains open.</x:v>
      </x:c>
      <x:c r="O53" s="136" t="str">
        <x:v>Implement/document audited first-admin provisioning, then execute only against the chosen production environment.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0.85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Reviewed estimate 85%: protected expire-listings job and owner-only reactivateListingAction are implemented. Dashboard offers Reactivate for 30 days for sold/expired listings. Production scheduler, TTL boundary and full reactivation browser acceptance remain open.</x:v>
      </x:c>
      <x:c r="O79" s="136" t="str">
        <x:v>Test expiry/reactivation boundaries and authorization; configure and monitor production scheduling under JW-197.</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upload/delete adapter and direct delivery URLs exist. a96704b protects local reads only; Cloudflare private/signed delivery is not implemented or verified. Live upload/display/delete and configuration failure acceptance remain open.</x:v>
      </x:c>
      <x:c r="O87" s="136" t="str">
        <x:v>Implement provider-appropriate private delivery before production use; configure staging and verify media lifecycle.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Uploaded images are re-encoded as WebP. Local media now uses direct unoptimized no-store requests to preserve authorization; static site images retain Next optimization. Cloudflare width delivery exists but production dimensions, bandwidth and visual quality are unverified.</x:v>
      </x:c>
      <x:c r="O89" s="136" t="str">
        <x:v>Verify production image transformations and private delivery together; measure mobile media bandwidth/LCP.</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Partially Implemented</x:v>
      </x:c>
      <x:c r="G133" s="137" t="n">
        <x:v>0.4</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Reviewed estimate 40%: saved-search alert preferences and authenticated matching cron exist; unique outbox records deduplicate listing/search pairs. No delivery worker/template or delivered_at updater was found. Matching currently reads the first result page, so overflow and retry correctness need acceptance.</x:v>
      </x:c>
      <x:c r="O133" s="136" t="str">
        <x:v>Implement delivery worker, email template/retry/control flow and complete matching/overflow/deduplication tests, then configure provider and scheduler.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Directory/storefront code and route/accessibility checks pass; admin verification/revocation changes public badges with DB audit assertions. Exact inventory-count, mixed-state and pagination checks remain open.</x:v>
      </x:c>
      <x:c r="O135" s="136" t="str">
        <x:v>Complete T-032 with deterministic mixed-status dealer inventory.</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 GET/HEAD authorization now enforces listing visibility and pending-upload ownership, with owner/admin controls, no-store responses, blocked optimizer access and storage outside public/. Desktop/mobile HTTP publish/edit reject foreign photo keys without changing listing images; valid-owner replays pass. Legacy development photo compatibility is preserved.</x:v>
      </x:c>
      <x:c r="O170" s="136" t="str">
        <x:v>Complete dealer/service direct-mutation negatives. Cloudflare private/signed delivery implementation and live provider acceptance remain a launch gate; local media authorization does not protect direct Cloudflare URLs.</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x:v>
      </x:c>
      <x:c r="H175" s="136" t="str">
        <x:v>High</x:v>
      </x:c>
      <x:c r="I175" s="136" t="str">
        <x:v>Stage 6</x:v>
      </x:c>
      <x:c r="J175" s="136" t="str">
        <x:v>Backend</x:v>
      </x:c>
      <x:c r="K175" s="136" t="str">
        <x:v>Privacy policy and operations</x:v>
      </x:c>
      <x:c r="L175" s="136" t="str">
        <x:v>Retention schedule and deletion workflows are documented and executable.</x:v>
      </x:c>
      <x:c r="M175" s="136" t="str">
        <x:v>Retention job; account deletion; backup implications</x:v>
      </x:c>
      <x:c r="N175" s="136" t="str">
        <x:v>Reviewed estimate 30%: purge-expired removes expired sessions, reset/verification tokens, old rate-limit buckets and abandoned uploads. Orphan storage cleanup has browser/DB acceptance. Account/report/service-record retention, deletion tooling and backup implications remain undefined/incomplete.</x:v>
      </x:c>
      <x:c r="O175" s="136" t="str">
        <x:v>Document retention decisions and implement account/report/service deletion workflows; verify backup handling and scheduled execution.</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0.4</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Reviewed estimate 40%: local review/regressions cover ownership, admin replay, upload content/origin/rate limits, private local reads and dependency audit. CI run 37 passes. Formal infrastructure assessment, remaining action negatives and Cloudflare privacy are not complete; this is not launch security sign-off.</x:v>
      </x:c>
      <x:c r="O176" s="136" t="str">
        <x:v>Finish dealer/service/private-provider assessment and infrastructure review; close critical/high findings with regression evidence.</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0.97</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Reviewed estimate 97% for core local functional coverage: 93 browser passes, one planned skip, five DB checks and 101-route clean sweep; final media rebuild added a 103-route clean sweep and two focused passes. GitHub run 37 passes on a96704b. Dealer/service direct mutation negatives and controlled failure recovery remain.</x:v>
      </x:c>
      <x:c r="O181" s="136" t="str">
        <x:v>Complete remaining local negative/failure cases. Real-device and production acceptance remain separate JW-178/199 gates.</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a96704b production build has maximum First Load JS 128 KB, below 150 KB. Production media/Web Vitals and representative query/load acceptance remain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Cloudflare adapter exists under JW-083, but no durable staging/production media service is verified. Local storage is development-only; private/signed Cloudflare delivery is an unresolved implementation gate.</x:v>
      </x:c>
      <x:c r="O196" s="136" t="str">
        <x:v>Complete JW-083 private delivery and configure durable storage; verify upload/read/delete across deployment and 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091215728ac74949"/>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alert preferences and deduplicated match outbox exist; delivery worker, templates, retry/control and full matching acceptance remain.</x:v>
      </x:c>
      <x:c r="F17" s="141" t="str">
        <x:v>Automated matching/overflow/deduplication and delivered-email acceptance pass with configured provider/scheduler.</x:v>
      </x:c>
      <x:c r="G17" s="141" t="str">
        <x:v>Partially Implemented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Local hardening has started: upload ownership/privacy, action authorization and cleanup. Production DB/media/backups/cron/logs/domain, formal security/load and live acceptance remain open.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b1a63ac5e5d64c3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direct mark-sold owner success and foreign-user denial with DB state checks; shared visibility assertions</x:v>
      </x:c>
      <x:c r="F18" s="141" t="str">
        <x:v>Partial pass: mark-sold authorization verified; cron TTL, reactivation and complete search/contact/SEO lifecycle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isolated migrations/seed and CI run 37 on a96704b</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authentication and DB/file preservation acceptance; protected expire/alert jobs present</x:v>
      </x:c>
      <x:c r="F57" s="141" t="str">
        <x:v>Partial pass: orphan cleanup verified; expiry/alert edge cases, production scheduler and monitoring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df04f24465c545d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1caedf44c0ee4e5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